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1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harts/chart6.xml" ContentType="application/vnd.openxmlformats-officedocument.drawingml.chart+xml"/>
  <Override PartName="/xl/drawings/drawing1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Arnab Docs\Claude Tutorial\"/>
    </mc:Choice>
  </mc:AlternateContent>
  <xr:revisionPtr revIDLastSave="0" documentId="13_ncr:1_{66929AD8-630B-418F-9B64-09FC8E2A7B50}" xr6:coauthVersionLast="47" xr6:coauthVersionMax="47" xr10:uidLastSave="{00000000-0000-0000-0000-000000000000}"/>
  <bookViews>
    <workbookView xWindow="-108" yWindow="-108" windowWidth="23256" windowHeight="12456" tabRatio="860" xr2:uid="{00000000-000D-0000-FFFF-FFFF00000000}"/>
  </bookViews>
  <sheets>
    <sheet name="Introduction" sheetId="46" r:id="rId1"/>
    <sheet name="Index-Response-1" sheetId="47" r:id="rId2"/>
    <sheet name="Formula" sheetId="44" r:id="rId3"/>
    <sheet name="Formula_Response-1" sheetId="48" r:id="rId4"/>
    <sheet name="Email_Data" sheetId="1" r:id="rId5"/>
    <sheet name="Email_Data_Response-1" sheetId="14" r:id="rId6"/>
    <sheet name="Email_Data_Response-2" sheetId="15" r:id="rId7"/>
    <sheet name="Raw_Messy_Data" sheetId="10" r:id="rId8"/>
    <sheet name="Raw_Messy_Data_Response-1" sheetId="49" r:id="rId9"/>
    <sheet name="Payroll_Data" sheetId="4" r:id="rId10"/>
    <sheet name="Payroll_Data_Response-1" sheetId="50" r:id="rId11"/>
    <sheet name="Payroll_Data_Response-2" sheetId="19" r:id="rId12"/>
    <sheet name="Bank_Books" sheetId="5" r:id="rId13"/>
    <sheet name="Bank_Statement" sheetId="6" r:id="rId14"/>
    <sheet name="ReconciliationReport_Response-1" sheetId="20" r:id="rId15"/>
    <sheet name="ReconciliationReport_Response-2" sheetId="22" r:id="rId16"/>
    <sheet name="Expenses" sheetId="7" r:id="rId17"/>
    <sheet name="Expense_Summary_Response-1" sheetId="24" r:id="rId18"/>
    <sheet name="Expense_Summary_Response-2" sheetId="26" r:id="rId19"/>
    <sheet name="Inventory" sheetId="8" r:id="rId20"/>
    <sheet name="Inventory_Response-1" sheetId="27" r:id="rId21"/>
    <sheet name="Inventory_Summary_Response-2" sheetId="51" r:id="rId22"/>
    <sheet name="Client_Followup" sheetId="9" r:id="rId23"/>
    <sheet name="Followup_Tracker_Response-1" sheetId="31" r:id="rId24"/>
    <sheet name="Client_StatusSummay_Response-2" sheetId="53" r:id="rId25"/>
    <sheet name="Budget_vs_Actual" sheetId="11" r:id="rId26"/>
    <sheet name="Budget_Analysis_Response-1" sheetId="35" r:id="rId27"/>
    <sheet name="BudgetVarianceReport_Response-2" sheetId="37" r:id="rId28"/>
    <sheet name="Sales_Data" sheetId="3" r:id="rId29"/>
    <sheet name="Sales_Dashboard_Response-1" sheetId="39" r:id="rId30"/>
    <sheet name="Sales_Dashboard_Response-2" sheetId="41" r:id="rId31"/>
    <sheet name="Sales_Dashboard_Response-3" sheetId="42" r:id="rId32"/>
    <sheet name="Prompts" sheetId="12" state="hidden" r:id="rId33"/>
  </sheets>
  <externalReferences>
    <externalReference r:id="rId34"/>
  </externalReferences>
  <definedNames>
    <definedName name="_xlnm._FilterDatabase" localSheetId="5" hidden="1">'Email_Data_Response-1'!$A$3:$H$3</definedName>
    <definedName name="_xlnm._FilterDatabase" localSheetId="6" hidden="1">'Email_Data_Response-2'!$A$3:$H$3</definedName>
    <definedName name="_xlnm._FilterDatabase" localSheetId="11" hidden="1">'Payroll_Data_Response-2'!$A$4:$L$4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50" l="1"/>
  <c r="G40" i="50"/>
  <c r="G39" i="50"/>
  <c r="G38" i="50"/>
  <c r="G37" i="50"/>
  <c r="G36" i="50"/>
  <c r="G35" i="50"/>
  <c r="G34" i="50"/>
  <c r="G33" i="50"/>
  <c r="G32" i="50"/>
  <c r="G31" i="50"/>
  <c r="G30" i="50"/>
  <c r="G29" i="50"/>
  <c r="G28" i="50"/>
  <c r="G27" i="50"/>
  <c r="G26" i="50"/>
  <c r="G25" i="50"/>
  <c r="G24" i="50"/>
  <c r="G23" i="50"/>
  <c r="G22" i="50"/>
  <c r="G21" i="50"/>
  <c r="G20" i="50"/>
  <c r="G19" i="50"/>
  <c r="G18" i="50"/>
  <c r="G17" i="50"/>
  <c r="G16" i="50"/>
  <c r="G15" i="50"/>
  <c r="G14" i="50"/>
  <c r="G13" i="50"/>
  <c r="G12" i="50"/>
  <c r="G11" i="50"/>
  <c r="G10" i="50"/>
  <c r="G9" i="50"/>
  <c r="G8" i="50"/>
  <c r="G7" i="50"/>
  <c r="G6" i="50"/>
  <c r="G5" i="50"/>
  <c r="G4" i="50"/>
  <c r="G3" i="50"/>
  <c r="G2" i="50"/>
  <c r="G47" i="50" s="1"/>
  <c r="K2" i="48"/>
  <c r="L2" i="48"/>
  <c r="M2" i="48"/>
  <c r="K3" i="48"/>
  <c r="L3" i="48"/>
  <c r="M3" i="48"/>
  <c r="K4" i="48"/>
  <c r="L4" i="48"/>
  <c r="M4" i="48"/>
  <c r="K5" i="48"/>
  <c r="L5" i="48"/>
  <c r="M5" i="48"/>
  <c r="K6" i="48"/>
  <c r="L6" i="48"/>
  <c r="M6" i="48"/>
  <c r="K7" i="48"/>
  <c r="L7" i="48"/>
  <c r="M7" i="48"/>
  <c r="K8" i="48"/>
  <c r="L8" i="48"/>
  <c r="M8" i="48"/>
  <c r="K9" i="48"/>
  <c r="L9" i="48"/>
  <c r="M9" i="48"/>
  <c r="K10" i="48"/>
  <c r="L10" i="48"/>
  <c r="M10" i="48"/>
  <c r="G44" i="50" l="1"/>
  <c r="G45" i="50"/>
  <c r="G46" i="50"/>
</calcChain>
</file>

<file path=xl/sharedStrings.xml><?xml version="1.0" encoding="utf-8"?>
<sst xmlns="http://schemas.openxmlformats.org/spreadsheetml/2006/main" count="5195" uniqueCount="1237">
  <si>
    <t>Client_ID</t>
  </si>
  <si>
    <t>Client_Name</t>
  </si>
  <si>
    <t>Email</t>
  </si>
  <si>
    <t>Course</t>
  </si>
  <si>
    <t>Fee_Status</t>
  </si>
  <si>
    <t>Enrollment_Date</t>
  </si>
  <si>
    <t>Nikhil Gupta</t>
  </si>
  <si>
    <t>user1@email.com</t>
  </si>
  <si>
    <t>Power BI</t>
  </si>
  <si>
    <t>Pending</t>
  </si>
  <si>
    <t>Arjun Sharma</t>
  </si>
  <si>
    <t>user2@email.com</t>
  </si>
  <si>
    <t>GST Mastery</t>
  </si>
  <si>
    <t>Deepak Verma</t>
  </si>
  <si>
    <t>user3@email.com</t>
  </si>
  <si>
    <t>Tally Prime</t>
  </si>
  <si>
    <t>Rahul Gupta</t>
  </si>
  <si>
    <t>user4@email.com</t>
  </si>
  <si>
    <t>Neha Singh</t>
  </si>
  <si>
    <t>user5@email.com</t>
  </si>
  <si>
    <t>Advanced Excel</t>
  </si>
  <si>
    <t>Deepak Gupta</t>
  </si>
  <si>
    <t>user6@email.com</t>
  </si>
  <si>
    <t>Paid</t>
  </si>
  <si>
    <t>Vikas Singh</t>
  </si>
  <si>
    <t>user7@email.com</t>
  </si>
  <si>
    <t>Aman Gupta</t>
  </si>
  <si>
    <t>user8@email.com</t>
  </si>
  <si>
    <t>Karan Gupta</t>
  </si>
  <si>
    <t>user9@email.com</t>
  </si>
  <si>
    <t>Karan Verma</t>
  </si>
  <si>
    <t>user10@email.com</t>
  </si>
  <si>
    <t>Priya Gupta</t>
  </si>
  <si>
    <t>user11@email.com</t>
  </si>
  <si>
    <t>Aman Singh</t>
  </si>
  <si>
    <t>user12@email.com</t>
  </si>
  <si>
    <t>Anita Verma</t>
  </si>
  <si>
    <t>user13@email.com</t>
  </si>
  <si>
    <t>Rahul Sharma</t>
  </si>
  <si>
    <t>user14@email.com</t>
  </si>
  <si>
    <t>Simran Singh</t>
  </si>
  <si>
    <t>user15@email.com</t>
  </si>
  <si>
    <t>user16@email.com</t>
  </si>
  <si>
    <t>Vikas Sharma</t>
  </si>
  <si>
    <t>user17@email.com</t>
  </si>
  <si>
    <t>Nikhil Sharma</t>
  </si>
  <si>
    <t>user18@email.com</t>
  </si>
  <si>
    <t>user19@email.com</t>
  </si>
  <si>
    <t>Arjun Verma</t>
  </si>
  <si>
    <t>user20@email.com</t>
  </si>
  <si>
    <t>Simran Verma</t>
  </si>
  <si>
    <t>user21@email.com</t>
  </si>
  <si>
    <t>Riya Singh</t>
  </si>
  <si>
    <t>user22@email.com</t>
  </si>
  <si>
    <t>Riya Verma</t>
  </si>
  <si>
    <t>user23@email.com</t>
  </si>
  <si>
    <t>user24@email.com</t>
  </si>
  <si>
    <t>Aman Verma</t>
  </si>
  <si>
    <t>user25@email.com</t>
  </si>
  <si>
    <t>user26@email.com</t>
  </si>
  <si>
    <t>user27@email.com</t>
  </si>
  <si>
    <t>user28@email.com</t>
  </si>
  <si>
    <t>Suresh Gupta</t>
  </si>
  <si>
    <t>user29@email.com</t>
  </si>
  <si>
    <t>user30@email.com</t>
  </si>
  <si>
    <t>user31@email.com</t>
  </si>
  <si>
    <t>Pooja Singh</t>
  </si>
  <si>
    <t>user32@email.com</t>
  </si>
  <si>
    <t>Priya Verma</t>
  </si>
  <si>
    <t>user33@email.com</t>
  </si>
  <si>
    <t>user34@email.com</t>
  </si>
  <si>
    <t>user35@email.com</t>
  </si>
  <si>
    <t>Riya Sharma</t>
  </si>
  <si>
    <t>user36@email.com</t>
  </si>
  <si>
    <t>Neha Verma</t>
  </si>
  <si>
    <t>user37@email.com</t>
  </si>
  <si>
    <t>Vikas Gupta</t>
  </si>
  <si>
    <t>user38@email.com</t>
  </si>
  <si>
    <t>user39@email.com</t>
  </si>
  <si>
    <t>user40@email.com</t>
  </si>
  <si>
    <t>Email_Data</t>
  </si>
  <si>
    <t>Sales_Data</t>
  </si>
  <si>
    <t>Payroll_Data</t>
  </si>
  <si>
    <t>Bank_Books</t>
  </si>
  <si>
    <t>Bank_Statement</t>
  </si>
  <si>
    <t>Expenses</t>
  </si>
  <si>
    <t>Inventory</t>
  </si>
  <si>
    <t>Client_Followup</t>
  </si>
  <si>
    <t>Raw_Messy_Data</t>
  </si>
  <si>
    <t>Budget_vs_Actual</t>
  </si>
  <si>
    <t>Date</t>
  </si>
  <si>
    <t>Region</t>
  </si>
  <si>
    <t>Product</t>
  </si>
  <si>
    <t>Sales_Amount</t>
  </si>
  <si>
    <t>North</t>
  </si>
  <si>
    <t>Power BI Course</t>
  </si>
  <si>
    <t>West</t>
  </si>
  <si>
    <t>Tally Course</t>
  </si>
  <si>
    <t>GST Course</t>
  </si>
  <si>
    <t>East</t>
  </si>
  <si>
    <t>South</t>
  </si>
  <si>
    <t>Excel Course</t>
  </si>
  <si>
    <t>Emp_ID</t>
  </si>
  <si>
    <t>Employee_Name</t>
  </si>
  <si>
    <t>Department</t>
  </si>
  <si>
    <t>Basic_Salary</t>
  </si>
  <si>
    <t>Bonus</t>
  </si>
  <si>
    <t>Deductions</t>
  </si>
  <si>
    <t>Anita Singh</t>
  </si>
  <si>
    <t>IT</t>
  </si>
  <si>
    <t>Rahul Singh</t>
  </si>
  <si>
    <t>Sales</t>
  </si>
  <si>
    <t>Rohit Singh</t>
  </si>
  <si>
    <t>Accounts</t>
  </si>
  <si>
    <t>HR</t>
  </si>
  <si>
    <t>Priya Singh</t>
  </si>
  <si>
    <t>Admin</t>
  </si>
  <si>
    <t>Arjun Kumar</t>
  </si>
  <si>
    <t>Karan Singh</t>
  </si>
  <si>
    <t>Nikhil Verma</t>
  </si>
  <si>
    <t>Nikhil Singh</t>
  </si>
  <si>
    <t>Riya Kumar</t>
  </si>
  <si>
    <t>Anita Kumar</t>
  </si>
  <si>
    <t>Suresh Singh</t>
  </si>
  <si>
    <t>Marketing</t>
  </si>
  <si>
    <t>Arjun Singh</t>
  </si>
  <si>
    <t>Vikas Kumar</t>
  </si>
  <si>
    <t>Neha Kumar</t>
  </si>
  <si>
    <t>Deepak Kumar</t>
  </si>
  <si>
    <t>Rohit Kumar</t>
  </si>
  <si>
    <t>Karan Kumar</t>
  </si>
  <si>
    <t>Rahul Verma</t>
  </si>
  <si>
    <t>Priya Kumar</t>
  </si>
  <si>
    <t>Rahul Kumar</t>
  </si>
  <si>
    <t>Description</t>
  </si>
  <si>
    <t>Amount</t>
  </si>
  <si>
    <t>Consulting Fee</t>
  </si>
  <si>
    <t>Utility Bill</t>
  </si>
  <si>
    <t>Office Rent</t>
  </si>
  <si>
    <t>Software Purchase</t>
  </si>
  <si>
    <t>Client Payment</t>
  </si>
  <si>
    <t>Bank Charges</t>
  </si>
  <si>
    <t>Category</t>
  </si>
  <si>
    <t>Travel</t>
  </si>
  <si>
    <t>Expense Item 1</t>
  </si>
  <si>
    <t>Expense Item 2</t>
  </si>
  <si>
    <t>Utilities</t>
  </si>
  <si>
    <t>Expense Item 3</t>
  </si>
  <si>
    <t>Expense Item 4</t>
  </si>
  <si>
    <t>Expense Item 5</t>
  </si>
  <si>
    <t>Expense Item 6</t>
  </si>
  <si>
    <t>Expense Item 7</t>
  </si>
  <si>
    <t>Expense Item 8</t>
  </si>
  <si>
    <t>Expense Item 9</t>
  </si>
  <si>
    <t>Office</t>
  </si>
  <si>
    <t>Expense Item 10</t>
  </si>
  <si>
    <t>Expense Item 11</t>
  </si>
  <si>
    <t>Expense Item 12</t>
  </si>
  <si>
    <t>Expense Item 13</t>
  </si>
  <si>
    <t>Expense Item 14</t>
  </si>
  <si>
    <t>Expense Item 15</t>
  </si>
  <si>
    <t>Expense Item 16</t>
  </si>
  <si>
    <t>Software</t>
  </si>
  <si>
    <t>Expense Item 17</t>
  </si>
  <si>
    <t>Expense Item 18</t>
  </si>
  <si>
    <t>Expense Item 19</t>
  </si>
  <si>
    <t>Expense Item 20</t>
  </si>
  <si>
    <t>Expense Item 21</t>
  </si>
  <si>
    <t>Expense Item 22</t>
  </si>
  <si>
    <t>Expense Item 23</t>
  </si>
  <si>
    <t>Expense Item 24</t>
  </si>
  <si>
    <t>Expense Item 25</t>
  </si>
  <si>
    <t>Expense Item 26</t>
  </si>
  <si>
    <t>Expense Item 27</t>
  </si>
  <si>
    <t>Expense Item 28</t>
  </si>
  <si>
    <t>Expense Item 29</t>
  </si>
  <si>
    <t>Expense Item 30</t>
  </si>
  <si>
    <t>Expense Item 31</t>
  </si>
  <si>
    <t>Expense Item 32</t>
  </si>
  <si>
    <t>Expense Item 33</t>
  </si>
  <si>
    <t>Expense Item 34</t>
  </si>
  <si>
    <t>Expense Item 35</t>
  </si>
  <si>
    <t>Expense Item 36</t>
  </si>
  <si>
    <t>Expense Item 37</t>
  </si>
  <si>
    <t>Expense Item 38</t>
  </si>
  <si>
    <t>Expense Item 39</t>
  </si>
  <si>
    <t>Expense Item 40</t>
  </si>
  <si>
    <t>Item_ID</t>
  </si>
  <si>
    <t>Item_Name</t>
  </si>
  <si>
    <t>Stock_Available</t>
  </si>
  <si>
    <t>Reorder_Level</t>
  </si>
  <si>
    <t>Supplier</t>
  </si>
  <si>
    <t>Item_1</t>
  </si>
  <si>
    <t>Lenovo</t>
  </si>
  <si>
    <t>Item_2</t>
  </si>
  <si>
    <t>Epson</t>
  </si>
  <si>
    <t>Item_3</t>
  </si>
  <si>
    <t>HP</t>
  </si>
  <si>
    <t>Item_4</t>
  </si>
  <si>
    <t>Samsung</t>
  </si>
  <si>
    <t>Item_5</t>
  </si>
  <si>
    <t>Logitech</t>
  </si>
  <si>
    <t>Item_6</t>
  </si>
  <si>
    <t>Item_7</t>
  </si>
  <si>
    <t>Item_8</t>
  </si>
  <si>
    <t>Item_9</t>
  </si>
  <si>
    <t>Item_10</t>
  </si>
  <si>
    <t>Item_11</t>
  </si>
  <si>
    <t>Item_12</t>
  </si>
  <si>
    <t>Item_13</t>
  </si>
  <si>
    <t>Item_14</t>
  </si>
  <si>
    <t>Item_15</t>
  </si>
  <si>
    <t>Item_16</t>
  </si>
  <si>
    <t>Item_17</t>
  </si>
  <si>
    <t>Item_18</t>
  </si>
  <si>
    <t>Item_19</t>
  </si>
  <si>
    <t>Dell</t>
  </si>
  <si>
    <t>Item_20</t>
  </si>
  <si>
    <t>Item_21</t>
  </si>
  <si>
    <t>Item_22</t>
  </si>
  <si>
    <t>Item_23</t>
  </si>
  <si>
    <t>Item_24</t>
  </si>
  <si>
    <t>Item_25</t>
  </si>
  <si>
    <t>Item_26</t>
  </si>
  <si>
    <t>Item_27</t>
  </si>
  <si>
    <t>Item_28</t>
  </si>
  <si>
    <t>Item_29</t>
  </si>
  <si>
    <t>Item_30</t>
  </si>
  <si>
    <t>Item_31</t>
  </si>
  <si>
    <t>Item_32</t>
  </si>
  <si>
    <t>Item_33</t>
  </si>
  <si>
    <t>Item_34</t>
  </si>
  <si>
    <t>Item_35</t>
  </si>
  <si>
    <t>Item_36</t>
  </si>
  <si>
    <t>Item_37</t>
  </si>
  <si>
    <t>Item_38</t>
  </si>
  <si>
    <t>Item_39</t>
  </si>
  <si>
    <t>Item_40</t>
  </si>
  <si>
    <t>Company</t>
  </si>
  <si>
    <t>Last_Contact_Date</t>
  </si>
  <si>
    <t>Status</t>
  </si>
  <si>
    <t>Next_Followup</t>
  </si>
  <si>
    <t>Neha Sharma</t>
  </si>
  <si>
    <t>Company_1</t>
  </si>
  <si>
    <t>Follow-up</t>
  </si>
  <si>
    <t>Suresh Sharma</t>
  </si>
  <si>
    <t>Company_2</t>
  </si>
  <si>
    <t>Interested</t>
  </si>
  <si>
    <t>Deepak Sharma</t>
  </si>
  <si>
    <t>Company_3</t>
  </si>
  <si>
    <t>Company_4</t>
  </si>
  <si>
    <t>Company_5</t>
  </si>
  <si>
    <t>Closed</t>
  </si>
  <si>
    <t>Company_6</t>
  </si>
  <si>
    <t>Negotiation</t>
  </si>
  <si>
    <t>Company_7</t>
  </si>
  <si>
    <t>Neha Gupta</t>
  </si>
  <si>
    <t>Company_8</t>
  </si>
  <si>
    <t>Suresh Verma</t>
  </si>
  <si>
    <t>Company_9</t>
  </si>
  <si>
    <t>Karan Sharma</t>
  </si>
  <si>
    <t>Company_10</t>
  </si>
  <si>
    <t>Priya Sharma</t>
  </si>
  <si>
    <t>Company_11</t>
  </si>
  <si>
    <t>Pooja Gupta</t>
  </si>
  <si>
    <t>Company_12</t>
  </si>
  <si>
    <t>Aman Sharma</t>
  </si>
  <si>
    <t>Company_13</t>
  </si>
  <si>
    <t>Company_14</t>
  </si>
  <si>
    <t>Company_15</t>
  </si>
  <si>
    <t>Simran Sharma</t>
  </si>
  <si>
    <t>Company_16</t>
  </si>
  <si>
    <t>Company_17</t>
  </si>
  <si>
    <t>Company_18</t>
  </si>
  <si>
    <t>Company_19</t>
  </si>
  <si>
    <t>Simran Gupta</t>
  </si>
  <si>
    <t>Company_20</t>
  </si>
  <si>
    <t>Company_21</t>
  </si>
  <si>
    <t>Company_22</t>
  </si>
  <si>
    <t>Company_23</t>
  </si>
  <si>
    <t>Company_24</t>
  </si>
  <si>
    <t>Company_25</t>
  </si>
  <si>
    <t>Company_26</t>
  </si>
  <si>
    <t>Company_27</t>
  </si>
  <si>
    <t>Company_28</t>
  </si>
  <si>
    <t>Company_29</t>
  </si>
  <si>
    <t>Demo Given</t>
  </si>
  <si>
    <t>Company_30</t>
  </si>
  <si>
    <t>Company_31</t>
  </si>
  <si>
    <t>Rohit Gupta</t>
  </si>
  <si>
    <t>Company_32</t>
  </si>
  <si>
    <t>Vikas Verma</t>
  </si>
  <si>
    <t>Company_33</t>
  </si>
  <si>
    <t>Company_34</t>
  </si>
  <si>
    <t>Company_35</t>
  </si>
  <si>
    <t>Company_36</t>
  </si>
  <si>
    <t>Company_37</t>
  </si>
  <si>
    <t>Company_38</t>
  </si>
  <si>
    <t>Company_39</t>
  </si>
  <si>
    <t>Company_40</t>
  </si>
  <si>
    <t>Name</t>
  </si>
  <si>
    <t>City</t>
  </si>
  <si>
    <t xml:space="preserve">Priya </t>
  </si>
  <si>
    <t xml:space="preserve"> mumbai</t>
  </si>
  <si>
    <t xml:space="preserve"> Rohit</t>
  </si>
  <si>
    <t>delhi</t>
  </si>
  <si>
    <t xml:space="preserve">Neha </t>
  </si>
  <si>
    <t>Bangalore</t>
  </si>
  <si>
    <t xml:space="preserve"> Aman</t>
  </si>
  <si>
    <t xml:space="preserve">Pune </t>
  </si>
  <si>
    <t xml:space="preserve">Rohit </t>
  </si>
  <si>
    <t xml:space="preserve">Delhi </t>
  </si>
  <si>
    <t>Budget</t>
  </si>
  <si>
    <t>Actual</t>
  </si>
  <si>
    <t>Sheet Name</t>
  </si>
  <si>
    <t>Topic / Demo</t>
  </si>
  <si>
    <t>Claude Prompt (Copy-Paste)</t>
  </si>
  <si>
    <t>Email Generation from Excel Data</t>
  </si>
  <si>
    <t>“Using the Email_Data sheet, generate personalized payment reminder emails for clients whose fee status is pending.”</t>
  </si>
  <si>
    <t>Follow-up Email Automation</t>
  </si>
  <si>
    <t>“From the Email_Data sheet, draft follow-up emails for students who enrolled in Advanced Excel course.”</t>
  </si>
  <si>
    <t>Index_Sheet</t>
  </si>
  <si>
    <t>Index Sheet Navigation</t>
  </si>
  <si>
    <t>“Create an index sheet with hyperlinks for all sheets in this Excel workbook.”</t>
  </si>
  <si>
    <t>Data Cleaning</t>
  </si>
  <si>
    <t>“Clean the Raw_Messy_Data sheet by removing extra spaces, standardizing city names, and removing duplicate records.”</t>
  </si>
  <si>
    <t>Data Standardization</t>
  </si>
  <si>
    <t>“Standardize the city names in Raw_Messy_Data so that Delhi, delhi and Delhi are treated as the same value.”</t>
  </si>
  <si>
    <t>Salary Calculation</t>
  </si>
  <si>
    <t>“Using the Payroll_Data sheet, create a formula to calculate net salary as Basic Salary + Bonus − Deductions.”</t>
  </si>
  <si>
    <t>Payroll Summary</t>
  </si>
  <si>
    <t>“Generate a department-wise payroll summary from the Payroll_Data sheet.”</t>
  </si>
  <si>
    <t>Bank_Books + Bank_Statement</t>
  </si>
  <si>
    <t>Bank Reconciliation</t>
  </si>
  <si>
    <t>“Compare the Bank_Books and Bank_Statement sheets and identify unmatched transactions.”</t>
  </si>
  <si>
    <t>Reconciliation Report</t>
  </si>
  <si>
    <t>“Prepare a reconciliation report showing missing entries between Bank_Books and Bank_Statement.”</t>
  </si>
  <si>
    <t>Expense Analysis</t>
  </si>
  <si>
    <t>“Create a category-wise expense summary from the Expenses sheet.”</t>
  </si>
  <si>
    <t>Monthly Expense Report</t>
  </si>
  <si>
    <t>“Generate a monthly expense report and identify the highest expense category.”</t>
  </si>
  <si>
    <t>Low Stock Alert</t>
  </si>
  <si>
    <t>“From the Inventory sheet, identify items where stock available is below the reorder level.”</t>
  </si>
  <si>
    <t>Inventory Summary</t>
  </si>
  <si>
    <t>“Create a summary report of total items and low stock items from the Inventory sheet.”</t>
  </si>
  <si>
    <t>Follow-up Tracker</t>
  </si>
  <si>
    <t>“From the Client_Followup sheet, identify clients who need follow-up in the next 7 days.”</t>
  </si>
  <si>
    <t>Sales Pipeline Insight</t>
  </si>
  <si>
    <t>“Create a summary of client status such as Interested, Negotiation, and Closed from the Client_Followup sheet.”</t>
  </si>
  <si>
    <t>Variance Analysis</t>
  </si>
  <si>
    <t>“Analyze the Budget_vs_Actual sheet and identify which departments exceeded their budget.”</t>
  </si>
  <si>
    <t>Budget Report</t>
  </si>
  <si>
    <t>“Create a report showing variance between budget and actual spending for each department.”</t>
  </si>
  <si>
    <t>Sales Dashboard</t>
  </si>
  <si>
    <t>“Using the Sales_Data sheet, create a sales dashboard with region-wise and product-wise charts.”</t>
  </si>
  <si>
    <t>Pivot Analysis</t>
  </si>
  <si>
    <t>“Generate a pivot table showing total sales by region and product from the Sales_Data sheet.”</t>
  </si>
  <si>
    <t>Sales Insights</t>
  </si>
  <si>
    <t>“Analyze the Sales_Data sheet and identify the top performing product and region.”</t>
  </si>
  <si>
    <t>Data to Presentation Notes</t>
  </si>
  <si>
    <t>“Analyze the Sales_Data sheet and create concise presentation notes highlighting key sales trends, top products, and region-wise performance.”</t>
  </si>
  <si>
    <t>Executive Summary</t>
  </si>
  <si>
    <t>“From the Sales_Data sheet, generate a short executive summary of sales performance that can be used in a business presentation.”</t>
  </si>
  <si>
    <t>Management Notes</t>
  </si>
  <si>
    <t>“Analyze the Budget_vs_Actual sheet and prepare bullet-point notes explaining which departments exceeded budget and possible reasons.”</t>
  </si>
  <si>
    <t>Insights for Presentation</t>
  </si>
  <si>
    <t>“Create presentation-ready insights from the Expenses sheet showing major spending categories and cost patterns.”</t>
  </si>
  <si>
    <t>PPT Creation</t>
  </si>
  <si>
    <t>“Create an outline for a PowerPoint presentation based on the Sales_Data analysis including slide titles, key points, and suggested charts.”</t>
  </si>
  <si>
    <t>Full PPT Draft</t>
  </si>
  <si>
    <t>“Generate a complete PowerPoint structure (10 slides) based on the Sales_Data insights including slide titles and bullet points.”</t>
  </si>
  <si>
    <t>✅ Payment Confirmation</t>
  </si>
  <si>
    <t>10 February 2026</t>
  </si>
  <si>
    <t>09 February 2026</t>
  </si>
  <si>
    <t>08 February 2026</t>
  </si>
  <si>
    <t>07 February 2026</t>
  </si>
  <si>
    <t>06 February 2026</t>
  </si>
  <si>
    <t>05 February 2026</t>
  </si>
  <si>
    <t>⏳ Payment Reminder</t>
  </si>
  <si>
    <t>04 February 2026</t>
  </si>
  <si>
    <t>03 February 2026</t>
  </si>
  <si>
    <t>02 February 2026</t>
  </si>
  <si>
    <t>01 February 2026</t>
  </si>
  <si>
    <t>31 January 2026</t>
  </si>
  <si>
    <t>30 January 2026</t>
  </si>
  <si>
    <t>29 January 2026</t>
  </si>
  <si>
    <t>28 January 2026</t>
  </si>
  <si>
    <t>27 January 2026</t>
  </si>
  <si>
    <t>26 January 2026</t>
  </si>
  <si>
    <t>25 January 2026</t>
  </si>
  <si>
    <t>24 January 2026</t>
  </si>
  <si>
    <t>23 January 2026</t>
  </si>
  <si>
    <t>22 January 2026</t>
  </si>
  <si>
    <t>21 January 2026</t>
  </si>
  <si>
    <t>20 January 2026</t>
  </si>
  <si>
    <t>19 January 2026</t>
  </si>
  <si>
    <t>18 January 2026</t>
  </si>
  <si>
    <t>17 January 2026</t>
  </si>
  <si>
    <t>16 January 2026</t>
  </si>
  <si>
    <t>15 January 2026</t>
  </si>
  <si>
    <t>14 January 2026</t>
  </si>
  <si>
    <t>13 January 2026</t>
  </si>
  <si>
    <t>12 January 2026</t>
  </si>
  <si>
    <t>11 January 2026</t>
  </si>
  <si>
    <t>10 January 2026</t>
  </si>
  <si>
    <t>09 January 2026</t>
  </si>
  <si>
    <t>08 January 2026</t>
  </si>
  <si>
    <t>07 January 2026</t>
  </si>
  <si>
    <t>06 January 2026</t>
  </si>
  <si>
    <t>05 January 2026</t>
  </si>
  <si>
    <t>04 January 2026</t>
  </si>
  <si>
    <t>03 January 2026</t>
  </si>
  <si>
    <t>02 January 2026</t>
  </si>
  <si>
    <t>📧  Client Email Communication Sheet  –  Payment Reminders &amp; Confirmations</t>
  </si>
  <si>
    <t>Source: Email_Data Sheet   |   Total Clients: 40   |   ⏳ Pending: 20   |   ✅ Paid: 20   |   Generated: 25 March 2026</t>
  </si>
  <si>
    <t>Client ID</t>
  </si>
  <si>
    <t>Client Name</t>
  </si>
  <si>
    <t>Email Address</t>
  </si>
  <si>
    <t>Fee Status</t>
  </si>
  <si>
    <t>Enrollment Date</t>
  </si>
  <si>
    <t>Email Type</t>
  </si>
  <si>
    <t>Email Draft</t>
  </si>
  <si>
    <t>Dear Nikhil Gupta,
We hope you are doing well.
This is a gentle reminder that your course fee for "Power BI" (enrolled on 02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</si>
  <si>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Arjun Sharma,
We hope you are doing well.
This is a gentle reminder that your course fee for "GST Mastery" (enrolled on 03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</si>
  <si>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Deepak Verma,
We hope you are doing well.
This is a gentle reminder that your course fee for "Tally Prime" (enrolled on 04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</si>
  <si>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Rahul Gupta,
We hope you are doing well.
This is a gentle reminder that your course fee for "Power BI" (enrolled on 05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</si>
  <si>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Neha Singh,
We hope you are doing well.
This is a gentle reminder that your course fee for "Advanced Excel" (enrolled on 06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</si>
  <si>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Deepak Gupta,
Congratulations and a warm welcome!
We are delighted to confirm that your payment for the course "Tally Prime" has been successfully received and your enrollment dated 07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</si>
  <si>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Vikas Singh,
Congratulations and a warm welcome!
We are delighted to confirm that your payment for the course "Power BI" has been successfully received and your enrollment dated 08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</si>
  <si>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Aman Gupta,
We hope you are doing well.
This is a gentle reminder that your course fee for "Tally Prime" (enrolled on 09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</si>
  <si>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Karan Gupta,
We hope you are doing well.
This is a gentle reminder that your course fee for "GST Mastery" (enrolled on 10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</si>
  <si>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Karan Verma,
We hope you are doing well.
This is a gentle reminder that your course fee for "Advanced Excel" (enrolled on 11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</si>
  <si>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Priya Gupta,
Congratulations and a warm welcome!
We are delighted to confirm that your payment for the course "Power BI" has been successfully received and your enrollment dated 12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</si>
  <si>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Aman Singh,
Congratulations and a warm welcome!
We are delighted to confirm that your payment for the course "GST Mastery" has been successfully received and your enrollment dated 13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</si>
  <si>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Anita Verma,
We hope you are doing well.
This is a gentle reminder that your course fee for "Advanced Excel" (enrolled on 14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</si>
  <si>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Rahul Sharma,
Congratulations and a warm welcome!
We are delighted to confirm that your payment for the course "GST Mastery" has been successfully received and your enrollment dated 15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</si>
  <si>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Simran Singh,
We hope you are doing well.
This is a gentle reminder that your course fee for "GST Mastery" (enrolled on 16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</si>
  <si>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Anita Verma,
We hope you are doing well.
This is a gentle reminder that your course fee for "Tally Prime" (enrolled on 17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</si>
  <si>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Vikas Sharma,
Congratulations and a warm welcome!
We are delighted to confirm that your payment for the course "Advanced Excel" has been successfully received and your enrollment dated 18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</si>
  <si>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Nikhil Sharma,
We hope you are doing well.
This is a gentle reminder that your course fee for "Power BI" (enrolled on 19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</si>
  <si>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Rahul Sharma,
Congratulations and a warm welcome!
We are delighted to confirm that your payment for the course "Power BI" has been successfully received and your enrollment dated 20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</si>
  <si>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Arjun Verma,
Congratulations and a warm welcome!
We are delighted to confirm that your payment for the course "GST Mastery" has been successfully received and your enrollment dated 21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</si>
  <si>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Simran Verma,
We hope you are doing well.
This is a gentle reminder that your course fee for "Advanced Excel" (enrolled on 22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</si>
  <si>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Riya Singh,
Congratulations and a warm welcome!
We are delighted to confirm that your payment for the course "GST Mastery" has been successfully received and your enrollment dated 23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</si>
  <si>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Riya Verma,
Congratulations and a warm welcome!
We are delighted to confirm that your payment for the course "Power BI" has been successfully received and your enrollment dated 24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</si>
  <si>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Rahul Sharma,
We hope you are doing well.
This is a gentle reminder that your course fee for "Power BI" (enrolled on 25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</si>
  <si>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Aman Verma,
We hope you are doing well.
This is a gentle reminder that your course fee for "GST Mastery" (enrolled on 26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</si>
  <si>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Riya Singh,
We hope you are doing well.
This is a gentle reminder that your course fee for "GST Mastery" (enrolled on 27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</si>
  <si>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Rahul Gupta,
Congratulations and a warm welcome!
We are delighted to confirm that your payment for the course "GST Mastery" has been successfully received and your enrollment dated 28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</si>
  <si>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Deepak Gupta,
Congratulations and a warm welcome!
We are delighted to confirm that your payment for the course "Tally Prime" has been successfully received and your enrollment dated 29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</si>
  <si>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Suresh Gupta,
We hope you are doing well.
This is a gentle reminder that your course fee for "Advanced Excel" (enrolled on 30 January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</si>
  <si>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Priya Gupta,
Congratulations and a warm welcome!
We are delighted to confirm that your payment for the course "Advanced Excel" has been successfully received and your enrollment dated 31 January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</si>
  <si>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Arjun Sharma,
Congratulations and a warm welcome!
We are delighted to confirm that your payment for the course "Power BI" has been successfully received and your enrollment dated 01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</si>
  <si>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Pooja Singh,
We hope you are doing well.
This is a gentle reminder that your course fee for "GST Mastery" (enrolled on 02 February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</si>
  <si>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Priya Verma,
We hope you are doing well.
This is a gentle reminder that your course fee for "GST Mastery" (enrolled on 03 February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</si>
  <si>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Nikhil Sharma,
We hope you are doing well.
This is a gentle reminder that your course fee for "GST Mastery" (enrolled on 04 February 2026) is currently Pending in our records.
Kindly complete your payment at the earliest to ensure uninterrupted access to your course materials and sessions.
If your payment has already been made, please share the confirmation receipt so we can update our records promptly.
For any payment-related queries or assistance, feel free to reach out to us.
Thank you for your cooperation.
Warm regards,
Accounts &amp; Admissions Team</t>
  </si>
  <si>
    <t>Dear Aman Verma,
Congratulations and a warm welcome!
We are delighted to confirm that your payment for the course "Tally Prime" has been successfully received and your enrollment dated 05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</si>
  <si>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Riya Sharma,
Congratulations and a warm welcome!
We are delighted to confirm that your payment for the course "Power BI" has been successfully received and your enrollment dated 06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</si>
  <si>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Neha Verma,
Congratulations and a warm welcome!
We are delighted to confirm that your payment for the course "Power BI" has been successfully received and your enrollment dated 07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</si>
  <si>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Vikas Gupta,
Congratulations and a warm welcome!
We are delighted to confirm that your payment for the course "Tally Prime" has been successfully received and your enrollment dated 08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</si>
  <si>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Arjun Verma,
Congratulations and a warm welcome!
We are delighted to confirm that your payment for the course "GST Mastery" has been successfully received and your enrollment dated 09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</si>
  <si>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Dear Simran Singh,
Congratulations and a warm welcome!
We are delighted to confirm that your payment for the course "Advanced Excel" has been successfully received and your enrollment dated 10 February 2026 is now fully active.
You now have complete access to all course materials, resources, and sessions. We are excited to have you as part of our learning community!
Should you need any assistance during your learning journey, our support team is always here to help.
We wish you a rewarding and enriching learning experience.
Warm regards,
Accounts &amp; Admissions Team</t>
  </si>
  <si>
    <t>🟠 Orange (Fee Status) = Payment Pending     🟢 Green (Fee Status) = Payment Confirmed     🟡 Yellow row = Pending client     🟩 Light green row = Paid client</t>
  </si>
  <si>
    <t>📧  Advanced Excel – Student Follow-up Email Sheet</t>
  </si>
  <si>
    <t>Total Students: 40   |   Advanced Excel Enrolled: 8   |   ⏳ Fee Pending: 5   |   ✅ Active: 3   |   Other Courses (no follow-up): 32   |   Generated: 25 March 2026</t>
  </si>
  <si>
    <t>Follow-up Type</t>
  </si>
  <si>
    <t>Follow-up Email</t>
  </si>
  <si>
    <t>—</t>
  </si>
  <si>
    <t>⏳ Follow-up: Fee Pending</t>
  </si>
  <si>
    <t>Dear Neha Singh,
Thank you for enrolling in our Advanced Excel course on 06 January 2026. We are thrilled to have you as a student!
We noticed that your course fee payment is still Pending. To ensure you have full and uninterrupted access to all course sessions, assignments, and learning resources, we kindly request you to complete your payment at the earliest convenience.
Here is a quick summary of what awaits you in Advanced Excel:
  • Advanced formulas &amp; functions (VLOOKUP, INDEX-MATCH, XLOOKUP)
  • Pivot Tables &amp; Pivot Charts
  • Data validation, conditional formatting &amp; dashboards
  • Macros &amp; VBA basics
If you have already made the payment, please share the confirmation receipt so we can update our records and activate your access without delay.
For any queries or support, feel free to reach out to us anytime.
Looking forward to seeing you in class!
Warm regards,
Course Coordinator – Advanced Excel
Training &amp; Development Team</t>
  </si>
  <si>
    <t>Dear Karan Verma,
Thank you for enrolling in our Advanced Excel course on 11 January 2026. We are thrilled to have you as a student!
We noticed that your course fee payment is still Pending. To ensure you have full and uninterrupted access to all course sessions, assignments, and learning resources, we kindly request you to complete your payment at the earliest convenience.
Here is a quick summary of what awaits you in Advanced Excel:
  • Advanced formulas &amp; functions (VLOOKUP, INDEX-MATCH, XLOOKUP)
  • Pivot Tables &amp; Pivot Charts
  • Data validation, conditional formatting &amp; dashboards
  • Macros &amp; VBA basics
If you have already made the payment, please share the confirmation receipt so we can update our records and activate your access without delay.
For any queries or support, feel free to reach out to us anytime.
Looking forward to seeing you in class!
Warm regards,
Course Coordinator – Advanced Excel
Training &amp; Development Team</t>
  </si>
  <si>
    <t>Dear Anita Verma,
Thank you for enrolling in our Advanced Excel course on 14 January 2026. We are thrilled to have you as a student!
We noticed that your course fee payment is still Pending. To ensure you have full and uninterrupted access to all course sessions, assignments, and learning resources, we kindly request you to complete your payment at the earliest convenience.
Here is a quick summary of what awaits you in Advanced Excel:
  • Advanced formulas &amp; functions (VLOOKUP, INDEX-MATCH, XLOOKUP)
  • Pivot Tables &amp; Pivot Charts
  • Data validation, conditional formatting &amp; dashboards
  • Macros &amp; VBA basics
If you have already made the payment, please share the confirmation receipt so we can update our records and activate your access without delay.
For any queries or support, feel free to reach out to us anytime.
Looking forward to seeing you in class!
Warm regards,
Course Coordinator – Advanced Excel
Training &amp; Development Team</t>
  </si>
  <si>
    <t>✅ Follow-up: Enrolled &amp; Active</t>
  </si>
  <si>
    <t>Dear Vikas Sharma,
We hope your Advanced Excel learning journey is going wonderfully!
Since your enrollment on 18 January 2026, we want to check in and ensure you are making the most of everything the course has to offer.
As a reminder, here are some key resources available to you:
  • Live &amp; recorded sessions – access anytime on your dashboard
  • Practice workbooks &amp; exercise files for every module
  • Doubt-clearing sessions – every Saturday, 10 AM–12 PM
  • Community forum – connect with fellow learners and instructors
We encourage you to complete the pending modules and attempt the practice assessments to reinforce your learning.
If you have any questions about the course content, schedule, or certificate, please do not hesitate to get in touch with us.
Keep up the great work — you are on the path to Excel mastery!
Warm regards,
Course Coordinator – Advanced Excel
Training &amp; Development Team</t>
  </si>
  <si>
    <t>Dear Simran Verma,
Thank you for enrolling in our Advanced Excel course on 22 January 2026. We are thrilled to have you as a student!
We noticed that your course fee payment is still Pending. To ensure you have full and uninterrupted access to all course sessions, assignments, and learning resources, we kindly request you to complete your payment at the earliest convenience.
Here is a quick summary of what awaits you in Advanced Excel:
  • Advanced formulas &amp; functions (VLOOKUP, INDEX-MATCH, XLOOKUP)
  • Pivot Tables &amp; Pivot Charts
  • Data validation, conditional formatting &amp; dashboards
  • Macros &amp; VBA basics
If you have already made the payment, please share the confirmation receipt so we can update our records and activate your access without delay.
For any queries or support, feel free to reach out to us anytime.
Looking forward to seeing you in class!
Warm regards,
Course Coordinator – Advanced Excel
Training &amp; Development Team</t>
  </si>
  <si>
    <t>Dear Suresh Gupta,
Thank you for enrolling in our Advanced Excel course on 30 January 2026. We are thrilled to have you as a student!
We noticed that your course fee payment is still Pending. To ensure you have full and uninterrupted access to all course sessions, assignments, and learning resources, we kindly request you to complete your payment at the earliest convenience.
Here is a quick summary of what awaits you in Advanced Excel:
  • Advanced formulas &amp; functions (VLOOKUP, INDEX-MATCH, XLOOKUP)
  • Pivot Tables &amp; Pivot Charts
  • Data validation, conditional formatting &amp; dashboards
  • Macros &amp; VBA basics
If you have already made the payment, please share the confirmation receipt so we can update our records and activate your access without delay.
For any queries or support, feel free to reach out to us anytime.
Looking forward to seeing you in class!
Warm regards,
Course Coordinator – Advanced Excel
Training &amp; Development Team</t>
  </si>
  <si>
    <t>Dear Priya Gupta,
We hope your Advanced Excel learning journey is going wonderfully!
Since your enrollment on 31 January 2026, we want to check in and ensure you are making the most of everything the course has to offer.
As a reminder, here are some key resources available to you:
  • Live &amp; recorded sessions – access anytime on your dashboard
  • Practice workbooks &amp; exercise files for every module
  • Doubt-clearing sessions – every Saturday, 10 AM–12 PM
  • Community forum – connect with fellow learners and instructors
We encourage you to complete the pending modules and attempt the practice assessments to reinforce your learning.
If you have any questions about the course content, schedule, or certificate, please do not hesitate to get in touch with us.
Keep up the great work — you are on the path to Excel mastery!
Warm regards,
Course Coordinator – Advanced Excel
Training &amp; Development Team</t>
  </si>
  <si>
    <t>Dear Simran Singh,
We hope your Advanced Excel learning journey is going wonderfully!
Since your enrollment on 10 February 2026, we want to check in and ensure you are making the most of everything the course has to offer.
As a reminder, here are some key resources available to you:
  • Live &amp; recorded sessions – access anytime on your dashboard
  • Practice workbooks &amp; exercise files for every module
  • Doubt-clearing sessions – every Saturday, 10 AM–12 PM
  • Community forum – connect with fellow learners and instructors
We encourage you to complete the pending modules and attempt the practice assessments to reinforce your learning.
If you have any questions about the course content, schedule, or certificate, please do not hesitate to get in touch with us.
Keep up the great work — you are on the path to Excel mastery!
Warm regards,
Course Coordinator – Advanced Excel
Training &amp; Development Team</t>
  </si>
  <si>
    <t>🟡 Yellow row = Advanced Excel | Fee Pending      🟢 Green row = Advanced Excel | Active &amp; Enrolled      ⬜ Grey row = Other course (no follow-up generated)      🟠 Orange pill = Pending      🟢 Green pill = Paid</t>
  </si>
  <si>
    <t>#</t>
  </si>
  <si>
    <t>Rows</t>
  </si>
  <si>
    <t>Priya</t>
  </si>
  <si>
    <t>Mumbai</t>
  </si>
  <si>
    <t>Rohit</t>
  </si>
  <si>
    <t>Delhi</t>
  </si>
  <si>
    <t>Neha</t>
  </si>
  <si>
    <t>Aman</t>
  </si>
  <si>
    <t>Pune</t>
  </si>
  <si>
    <t>Emp ID</t>
  </si>
  <si>
    <t>Employee Name</t>
  </si>
  <si>
    <t>Basic Salary (₹)</t>
  </si>
  <si>
    <t>Bonus (₹)</t>
  </si>
  <si>
    <t>Deductions (₹)</t>
  </si>
  <si>
    <t>Net Salary (₹)</t>
  </si>
  <si>
    <t>💰  Department-wise Payroll Summary</t>
  </si>
  <si>
    <t>Source: Payroll_Data   |   Total Employees: 40   |   Departments: 6   |   Total Payroll: ₹1,983,026   |   Generated: 25 March 2026</t>
  </si>
  <si>
    <t>📊  Section 1 : Department Totals &amp; Averages</t>
  </si>
  <si>
    <t>Head
count</t>
  </si>
  <si>
    <t>Total Basic
Salary (₹)</t>
  </si>
  <si>
    <t>Total
Bonus (₹)</t>
  </si>
  <si>
    <t>Total
Deductions (₹)</t>
  </si>
  <si>
    <t>Total Net
Salary (₹)</t>
  </si>
  <si>
    <t>Avg Basic
(₹)</t>
  </si>
  <si>
    <t>Avg Bonus
(₹)</t>
  </si>
  <si>
    <t>Avg Deductions
(₹)</t>
  </si>
  <si>
    <t>Avg Net
Salary (₹)</t>
  </si>
  <si>
    <t>Min Net (₹)</t>
  </si>
  <si>
    <t>GRAND TOTAL</t>
  </si>
  <si>
    <t>👤  Section 2 : Employee-wise Breakdown by Department</t>
  </si>
  <si>
    <t>vs Dept Avg</t>
  </si>
  <si>
    <t>▲ ₹10,319</t>
  </si>
  <si>
    <t>▼ ₹133</t>
  </si>
  <si>
    <t>▼ ₹1,177</t>
  </si>
  <si>
    <t>▼ ₹3,959</t>
  </si>
  <si>
    <t>▼ ₹5,050</t>
  </si>
  <si>
    <t>▲ ₹9,194</t>
  </si>
  <si>
    <t>▲ ₹8,967</t>
  </si>
  <si>
    <t>▲ ₹787</t>
  </si>
  <si>
    <t>▲ ₹681</t>
  </si>
  <si>
    <t>▼ ₹9,486</t>
  </si>
  <si>
    <t>▼ ₹10,145</t>
  </si>
  <si>
    <t>▲ ₹10,286</t>
  </si>
  <si>
    <t>▲ ₹10,212</t>
  </si>
  <si>
    <t>▲ ₹8,876</t>
  </si>
  <si>
    <t>▲ ₹996</t>
  </si>
  <si>
    <t>▼ ₹1,797</t>
  </si>
  <si>
    <t>▼ ₹5,663</t>
  </si>
  <si>
    <t>▼ ₹11,253</t>
  </si>
  <si>
    <t>▼ ₹11,660</t>
  </si>
  <si>
    <t>▲ ₹8,282</t>
  </si>
  <si>
    <t>▲ ₹5,247</t>
  </si>
  <si>
    <t>▼ ₹5,458</t>
  </si>
  <si>
    <t>▼ ₹8,071</t>
  </si>
  <si>
    <t>▲ ₹13,737</t>
  </si>
  <si>
    <t>▲ ₹11,724</t>
  </si>
  <si>
    <t>▲ ₹9,202</t>
  </si>
  <si>
    <t>▲ ₹1,399</t>
  </si>
  <si>
    <t>▼ ₹8,919</t>
  </si>
  <si>
    <t>▼ ₹10,409</t>
  </si>
  <si>
    <t>▼ ₹16,736</t>
  </si>
  <si>
    <t>▲ ₹12,002</t>
  </si>
  <si>
    <t>▲ ₹8,775</t>
  </si>
  <si>
    <t>▲ ₹6,848</t>
  </si>
  <si>
    <t>▲ ₹3,355</t>
  </si>
  <si>
    <t>▲ ₹2,488</t>
  </si>
  <si>
    <t>▲ ₹1,676</t>
  </si>
  <si>
    <t>▼ ₹48</t>
  </si>
  <si>
    <t>▼ ₹6,756</t>
  </si>
  <si>
    <t>▼ ₹6,833</t>
  </si>
  <si>
    <t>▼ ₹21,507</t>
  </si>
  <si>
    <t>Total Net Salary:  🟢 ≥ ₹4,50,000  Top   🔵 ₹3,00,000–₹4,49,999  Mid   🟡 &lt; ₹3,00,000  Lower   |  vs Dept Avg:  ▲ Green = Above average   ▼ Red = Below average   |  Avg Net: Colour scale from 🟡 Low → 🔵 Mid → 🟢 High</t>
  </si>
  <si>
    <t>BANK RECONCILIATION REPORT</t>
  </si>
  <si>
    <t>Period: January 1, 2026 – February 9, 2026</t>
  </si>
  <si>
    <t>Metric</t>
  </si>
  <si>
    <t>Bank Books</t>
  </si>
  <si>
    <t>Bank Statement</t>
  </si>
  <si>
    <t>Total Transactions</t>
  </si>
  <si>
    <t>Matched</t>
  </si>
  <si>
    <t>Amount Discrepancies</t>
  </si>
  <si>
    <t>Unmatched</t>
  </si>
  <si>
    <t>Total Amount</t>
  </si>
  <si>
    <t>Legend:</t>
  </si>
  <si>
    <t>Matched (same date &amp; description)</t>
  </si>
  <si>
    <t>Amount Discrepancy (matched but different amounts)</t>
  </si>
  <si>
    <t>Unmatched (no corresponding entry found)</t>
  </si>
  <si>
    <t>AMOUNT DISCREPANCIES (Matched Date &amp; Description, Different Amount)</t>
  </si>
  <si>
    <t>Books Amount</t>
  </si>
  <si>
    <t>Statement Amount</t>
  </si>
  <si>
    <t>Difference</t>
  </si>
  <si>
    <t>2026-01-05</t>
  </si>
  <si>
    <t>2026-01-11</t>
  </si>
  <si>
    <t>2026-01-14</t>
  </si>
  <si>
    <t>2026-01-19</t>
  </si>
  <si>
    <t>2026-01-21</t>
  </si>
  <si>
    <t>2026-01-25</t>
  </si>
  <si>
    <t>2026-01-30</t>
  </si>
  <si>
    <t>2026-01-31</t>
  </si>
  <si>
    <t>2026-02-08</t>
  </si>
  <si>
    <t>UNMATCHED ENTRIES — BANK BOOKS (not found in Bank Statement)</t>
  </si>
  <si>
    <t>2026-01-01</t>
  </si>
  <si>
    <t>2026-01-02</t>
  </si>
  <si>
    <t>2026-01-03</t>
  </si>
  <si>
    <t>2026-01-04</t>
  </si>
  <si>
    <t>2026-01-06</t>
  </si>
  <si>
    <t>2026-01-07</t>
  </si>
  <si>
    <t>2026-01-08</t>
  </si>
  <si>
    <t>2026-01-09</t>
  </si>
  <si>
    <t>2026-01-10</t>
  </si>
  <si>
    <t>2026-01-12</t>
  </si>
  <si>
    <t>2026-01-13</t>
  </si>
  <si>
    <t>2026-01-15</t>
  </si>
  <si>
    <t>2026-01-16</t>
  </si>
  <si>
    <t>2026-01-17</t>
  </si>
  <si>
    <t>2026-01-18</t>
  </si>
  <si>
    <t>2026-01-20</t>
  </si>
  <si>
    <t>2026-01-22</t>
  </si>
  <si>
    <t>2026-01-23</t>
  </si>
  <si>
    <t>2026-01-24</t>
  </si>
  <si>
    <t>2026-01-26</t>
  </si>
  <si>
    <t>2026-01-27</t>
  </si>
  <si>
    <t>2026-01-28</t>
  </si>
  <si>
    <t>2026-01-29</t>
  </si>
  <si>
    <t>2026-02-01</t>
  </si>
  <si>
    <t>2026-02-02</t>
  </si>
  <si>
    <t>2026-02-03</t>
  </si>
  <si>
    <t>2026-02-04</t>
  </si>
  <si>
    <t>2026-02-05</t>
  </si>
  <si>
    <t>2026-02-06</t>
  </si>
  <si>
    <t>2026-02-07</t>
  </si>
  <si>
    <t>2026-02-09</t>
  </si>
  <si>
    <t>UNMATCHED ENTRIES — BANK STATEMENT (not found in Bank Books)</t>
  </si>
  <si>
    <t xml:space="preserve">  BANK RECONCILIATION REPORT — Missing Entry Analysis</t>
  </si>
  <si>
    <t xml:space="preserve">  Bank Books  vs  Bank Statement  |  Period: 01 Jan 2026 – 09 Feb 2026  |  Generated: 25 Mar 2026</t>
  </si>
  <si>
    <t xml:space="preserve">  EXECUTIVE SUMMARY</t>
  </si>
  <si>
    <t>Bank Books
Total Entries</t>
  </si>
  <si>
    <t>Bank Statement
Total Entries</t>
  </si>
  <si>
    <t>Matched
(Exact)</t>
  </si>
  <si>
    <t>Amount
Discrepancies</t>
  </si>
  <si>
    <t>Missing in
Statement</t>
  </si>
  <si>
    <t>Missing in
Books</t>
  </si>
  <si>
    <t>Net Amt
Difference</t>
  </si>
  <si>
    <t xml:space="preserve">  COLOUR LEGEND</t>
  </si>
  <si>
    <t xml:space="preserve">  ✓  Matched (Exact)</t>
  </si>
  <si>
    <t>Date + Description + Amount identical in both sources</t>
  </si>
  <si>
    <t xml:space="preserve">  !  Amount Discrepancy</t>
  </si>
  <si>
    <t>Same Date &amp; Description but Amount differs between sources</t>
  </si>
  <si>
    <t xml:space="preserve">  ✗  Missing Entry</t>
  </si>
  <si>
    <t>Entry exists in one source only — absent from the other</t>
  </si>
  <si>
    <t xml:space="preserve">  ✗  MISSING FROM BANK STATEMENT  (31 entries)  |  In Books – Not in Statement</t>
  </si>
  <si>
    <t>Amount (₹)</t>
  </si>
  <si>
    <t>Notes</t>
  </si>
  <si>
    <t>Not recorded in Bank Statement</t>
  </si>
  <si>
    <t>SUBTOTAL — Missing from Statement</t>
  </si>
  <si>
    <t xml:space="preserve">  ✗  MISSING FROM BANK BOOKS  (31 entries)  |  In Statement – Not in Books</t>
  </si>
  <si>
    <t>Not recorded in Bank Books</t>
  </si>
  <si>
    <t>SUBTOTAL — Missing from Books</t>
  </si>
  <si>
    <t xml:space="preserve">  !  AMOUNT DISCREPANCIES  (9 entries)  |  Same Date &amp; Description — Different Amount</t>
  </si>
  <si>
    <t>Books Amt (₹)</t>
  </si>
  <si>
    <t>Statement Amt (₹)</t>
  </si>
  <si>
    <t>Difference (₹)</t>
  </si>
  <si>
    <t>Remark</t>
  </si>
  <si>
    <t>Over-stated in Books</t>
  </si>
  <si>
    <t>Under-stated in Books</t>
  </si>
  <si>
    <t>NET DISCREPANCY TOTAL</t>
  </si>
  <si>
    <t xml:space="preserve">  DESCRIPTION-WISE MISSING ENTRY BREAKDOWN</t>
  </si>
  <si>
    <t>Missing from
Statement (Cnt)</t>
  </si>
  <si>
    <t>Missing from
Statement (₹)</t>
  </si>
  <si>
    <t>Missing from
Books (Cnt)</t>
  </si>
  <si>
    <t>Missing from
Books (₹)</t>
  </si>
  <si>
    <t xml:space="preserve">  ✓  MATCHED ENTRIES  (0 entries)  |  Exact match on Date, Description &amp; Amount</t>
  </si>
  <si>
    <t>Verified</t>
  </si>
  <si>
    <t xml:space="preserve">  CATEGORY-WISE EXPENSE SUMMARY REPORT</t>
  </si>
  <si>
    <t xml:space="preserve">  Period: 01 Jan 2026 – 09 Feb 2026  |  All amounts in ₹  |  Source: Expenses Worksheet</t>
  </si>
  <si>
    <t>Total (₹)</t>
  </si>
  <si>
    <t xml:space="preserve">  KEY METRICS</t>
  </si>
  <si>
    <t>Total Expenses
(₹)</t>
  </si>
  <si>
    <t>No. of Transactions</t>
  </si>
  <si>
    <t>No. of Categories</t>
  </si>
  <si>
    <t>Highest Category
(Travel)</t>
  </si>
  <si>
    <t>Lowest Category
(Utilities)</t>
  </si>
  <si>
    <t>Avg Transaction
(₹)</t>
  </si>
  <si>
    <t>Largest Single
Transaction (₹)</t>
  </si>
  <si>
    <t>Expense Period
(Days)</t>
  </si>
  <si>
    <t xml:space="preserve">  CATEGORY-WISE EXPENSE SUMMARY  (sorted by Total — highest to lowest)</t>
  </si>
  <si>
    <t>No. of
Transactions</t>
  </si>
  <si>
    <t>Total Amount
(₹)</t>
  </si>
  <si>
    <t>Average
(₹)</t>
  </si>
  <si>
    <t>Min
(₹)</t>
  </si>
  <si>
    <t>Max
(₹)</t>
  </si>
  <si>
    <t>% Share
of Total</t>
  </si>
  <si>
    <t>Rank</t>
  </si>
  <si>
    <t xml:space="preserve">  MONTH-WISE CATEGORY BREAKDOWN</t>
  </si>
  <si>
    <t>Jan 2026</t>
  </si>
  <si>
    <t>Feb 2026</t>
  </si>
  <si>
    <t>Grand Total</t>
  </si>
  <si>
    <t>-</t>
  </si>
  <si>
    <t>MONTHLY TOTAL</t>
  </si>
  <si>
    <t xml:space="preserve">  TOP 5 HIGHEST EXPENSE TRANSACTIONS</t>
  </si>
  <si>
    <t>% of Total</t>
  </si>
  <si>
    <t xml:space="preserve">  CATEGORY COLOUR LEGEND  &amp;  % SHARE HEAT-MAP KEY</t>
  </si>
  <si>
    <t xml:space="preserve">  Travel</t>
  </si>
  <si>
    <t xml:space="preserve">  Marketing</t>
  </si>
  <si>
    <t xml:space="preserve">  Software</t>
  </si>
  <si>
    <t xml:space="preserve">  Office</t>
  </si>
  <si>
    <t xml:space="preserve">  Utilities</t>
  </si>
  <si>
    <t>% Share Heat-Map:</t>
  </si>
  <si>
    <t>≥ 30%  (Dark Red)</t>
  </si>
  <si>
    <t>20–30%  (Red)</t>
  </si>
  <si>
    <t>15–20%  (Light Red)</t>
  </si>
  <si>
    <t>10–15%  (Very Light)</t>
  </si>
  <si>
    <t>&lt; 10%   (White)</t>
  </si>
  <si>
    <t xml:space="preserve">  MONTHLY EXPENSE REPORT  ·  January – February 2026</t>
  </si>
  <si>
    <t xml:space="preserve">  Total Spend: ₹201,256  |  Highest Category (Overall): Travel  |  MoM Change: -71.2%  |  40 transactions across 5 categories</t>
  </si>
  <si>
    <t>Month</t>
  </si>
  <si>
    <t>Total</t>
  </si>
  <si>
    <t xml:space="preserve">  EXECUTIVE OVERVIEW</t>
  </si>
  <si>
    <t>Jan 2026
Total (₹)</t>
  </si>
  <si>
    <t>Feb 2026
Total (₹)</t>
  </si>
  <si>
    <t>MoM
Change</t>
  </si>
  <si>
    <t>Grand Total
(₹)</t>
  </si>
  <si>
    <t>Total
Transactions</t>
  </si>
  <si>
    <t>Highest Cat.
(Overall)</t>
  </si>
  <si>
    <t>Avg per
Transaction (₹)</t>
  </si>
  <si>
    <t>Highest Single
Txn (₹)</t>
  </si>
  <si>
    <t>Lowest Cat.
(Overall)</t>
  </si>
  <si>
    <t>-71.2%</t>
  </si>
  <si>
    <t xml:space="preserve">  MONTHLY EXPENSE SUMMARY</t>
  </si>
  <si>
    <t>Transactions</t>
  </si>
  <si>
    <t>Total Spend (₹)</t>
  </si>
  <si>
    <t>Average (₹)</t>
  </si>
  <si>
    <t>Min (₹)</t>
  </si>
  <si>
    <t>Max (₹)</t>
  </si>
  <si>
    <t>MoM Change</t>
  </si>
  <si>
    <t>Highest Category</t>
  </si>
  <si>
    <t>▲ Travel</t>
  </si>
  <si>
    <t>TOTAL</t>
  </si>
  <si>
    <t xml:space="preserve">  CATEGORY-WISE BREAKDOWN BY MONTH  (₹)</t>
  </si>
  <si>
    <t>Grand
Total</t>
  </si>
  <si>
    <t>% Share</t>
  </si>
  <si>
    <t>Highest
Month</t>
  </si>
  <si>
    <t>★ HIGHEST</t>
  </si>
  <si>
    <t xml:space="preserve">  MONTH-BY-MONTH DEEP DIVE  — Daily Transactions</t>
  </si>
  <si>
    <t xml:space="preserve">  Jan 2026  |  Total: ₹156,226  |  31 transactions  |  Highest Category: ▲ Travel  (₹46,539)</t>
  </si>
  <si>
    <t>Day</t>
  </si>
  <si>
    <t>% of Month</t>
  </si>
  <si>
    <t>Running Total</t>
  </si>
  <si>
    <t>Cumul. %</t>
  </si>
  <si>
    <t>▲</t>
  </si>
  <si>
    <t>Jan 2026 SUB-TOTAL</t>
  </si>
  <si>
    <t xml:space="preserve">  Feb 2026  |  Total: ₹45,030  |  9 transactions  |  Highest Category: ▲ Travel  (₹28,147)</t>
  </si>
  <si>
    <t>Feb 2026 SUB-TOTAL</t>
  </si>
  <si>
    <t xml:space="preserve">  TOP 3 TRANSACTIONS PER MONTH  (Highest Individual Spends)</t>
  </si>
  <si>
    <t>🥇</t>
  </si>
  <si>
    <t>🥈</t>
  </si>
  <si>
    <t>🥉</t>
  </si>
  <si>
    <t xml:space="preserve">  LEGEND</t>
  </si>
  <si>
    <t>Category Colours:</t>
  </si>
  <si>
    <t>Amount Heat-Map:</t>
  </si>
  <si>
    <t>Highest (≥85%)</t>
  </si>
  <si>
    <t>High (65–85%)</t>
  </si>
  <si>
    <t>Mid (45–65%)</t>
  </si>
  <si>
    <t>Low (25–45%)</t>
  </si>
  <si>
    <t>Lowest (&lt;25%)</t>
  </si>
  <si>
    <t>✔ OK</t>
  </si>
  <si>
    <t>⚠ REORDER</t>
  </si>
  <si>
    <t>Total Items</t>
  </si>
  <si>
    <t>Low Stock Items</t>
  </si>
  <si>
    <t>Item ID</t>
  </si>
  <si>
    <t>Item Name</t>
  </si>
  <si>
    <t>Stock Available</t>
  </si>
  <si>
    <t>Reorder Level</t>
  </si>
  <si>
    <t>Shortage</t>
  </si>
  <si>
    <t>Action Required</t>
  </si>
  <si>
    <t>🔴 CRITICAL</t>
  </si>
  <si>
    <t>🟠 HIGH</t>
  </si>
  <si>
    <t>📋  CLIENT FOLLOW-UP TRACKER</t>
  </si>
  <si>
    <t>Report Date: 25 March 2026   |   Total Clients: 40   |   Source: Client_Followup Sheet</t>
  </si>
  <si>
    <t>TOTAL CLIENTS
40</t>
  </si>
  <si>
    <t>🔴 CRITICAL
40</t>
  </si>
  <si>
    <t>🟠 HIGH
0</t>
  </si>
  <si>
    <t>🟡 MEDIUM
0</t>
  </si>
  <si>
    <t>⚪ OVERDUE
0</t>
  </si>
  <si>
    <t>Last Contact</t>
  </si>
  <si>
    <t>Next Follow-up</t>
  </si>
  <si>
    <t>Days Overdue</t>
  </si>
  <si>
    <t>Urgency</t>
  </si>
  <si>
    <t>Action</t>
  </si>
  <si>
    <t>01-Jan-2026</t>
  </si>
  <si>
    <t>08-Jan-2026</t>
  </si>
  <si>
    <t>🚨 Contact Immediately</t>
  </si>
  <si>
    <t>02-Jan-2026</t>
  </si>
  <si>
    <t>09-Jan-2026</t>
  </si>
  <si>
    <t>03-Jan-2026</t>
  </si>
  <si>
    <t>10-Jan-2026</t>
  </si>
  <si>
    <t>04-Jan-2026</t>
  </si>
  <si>
    <t>11-Jan-2026</t>
  </si>
  <si>
    <t>05-Jan-2026</t>
  </si>
  <si>
    <t>12-Jan-2026</t>
  </si>
  <si>
    <t>06-Jan-2026</t>
  </si>
  <si>
    <t>13-Jan-2026</t>
  </si>
  <si>
    <t>07-Jan-2026</t>
  </si>
  <si>
    <t>14-Jan-2026</t>
  </si>
  <si>
    <t>15-Jan-2026</t>
  </si>
  <si>
    <t>16-Jan-2026</t>
  </si>
  <si>
    <t>17-Jan-2026</t>
  </si>
  <si>
    <t>18-Jan-2026</t>
  </si>
  <si>
    <t>19-Jan-2026</t>
  </si>
  <si>
    <t>20-Jan-2026</t>
  </si>
  <si>
    <t>21-Jan-2026</t>
  </si>
  <si>
    <t>22-Jan-2026</t>
  </si>
  <si>
    <t>23-Jan-2026</t>
  </si>
  <si>
    <t>24-Jan-2026</t>
  </si>
  <si>
    <t>25-Jan-2026</t>
  </si>
  <si>
    <t>26-Jan-2026</t>
  </si>
  <si>
    <t>27-Jan-2026</t>
  </si>
  <si>
    <t>28-Jan-2026</t>
  </si>
  <si>
    <t>29-Jan-2026</t>
  </si>
  <si>
    <t>30-Jan-2026</t>
  </si>
  <si>
    <t>31-Jan-2026</t>
  </si>
  <si>
    <t>01-Feb-2026</t>
  </si>
  <si>
    <t>02-Feb-2026</t>
  </si>
  <si>
    <t>03-Feb-2026</t>
  </si>
  <si>
    <t>04-Feb-2026</t>
  </si>
  <si>
    <t>05-Feb-2026</t>
  </si>
  <si>
    <t>06-Feb-2026</t>
  </si>
  <si>
    <t>07-Feb-2026</t>
  </si>
  <si>
    <t>08-Feb-2026</t>
  </si>
  <si>
    <t>09-Feb-2026</t>
  </si>
  <si>
    <t>10-Feb-2026</t>
  </si>
  <si>
    <t>11-Feb-2026</t>
  </si>
  <si>
    <t>12-Feb-2026</t>
  </si>
  <si>
    <t>13-Feb-2026</t>
  </si>
  <si>
    <t>14-Feb-2026</t>
  </si>
  <si>
    <t>15-Feb-2026</t>
  </si>
  <si>
    <t>16-Feb-2026</t>
  </si>
  <si>
    <t>25.0%</t>
  </si>
  <si>
    <t>100%</t>
  </si>
  <si>
    <t>💰  BUDGET vs ACTUAL — VARIANCE ANALYSIS REPORT</t>
  </si>
  <si>
    <t>Report Date: 25 March 2026   |   Departments: 6   |   Source: Budget_vs_Actual Sheet</t>
  </si>
  <si>
    <t>TOTAL BUDGET
₹374,504</t>
  </si>
  <si>
    <t>TOTAL ACTUAL
₹310,238</t>
  </si>
  <si>
    <t>TOTAL VARIANCE
₹-64,266</t>
  </si>
  <si>
    <t>VARIANCE %
-17.2%</t>
  </si>
  <si>
    <t>OVER BUDGET
2 dept(s)</t>
  </si>
  <si>
    <t xml:space="preserve">  DEPARTMENT-WISE VARIANCE BREAKDOWN</t>
  </si>
  <si>
    <t>Dept</t>
  </si>
  <si>
    <t>Budget (₹)</t>
  </si>
  <si>
    <t>Actual (₹)</t>
  </si>
  <si>
    <t>Variance (₹)</t>
  </si>
  <si>
    <t>Variance %</t>
  </si>
  <si>
    <t>Utilisation %</t>
  </si>
  <si>
    <t>Budget Bar</t>
  </si>
  <si>
    <t>Indicator</t>
  </si>
  <si>
    <t>₹48,568</t>
  </si>
  <si>
    <t>₹63,330</t>
  </si>
  <si>
    <t>₹+14,762</t>
  </si>
  <si>
    <t>+30.4%</t>
  </si>
  <si>
    <t>130.4%</t>
  </si>
  <si>
    <t>OVER BUDGET</t>
  </si>
  <si>
    <t>██████████</t>
  </si>
  <si>
    <t>🔴 EXCEEDED</t>
  </si>
  <si>
    <t>₹63,020</t>
  </si>
  <si>
    <t>₹70,302</t>
  </si>
  <si>
    <t>₹+7,282</t>
  </si>
  <si>
    <t>+11.6%</t>
  </si>
  <si>
    <t>111.6%</t>
  </si>
  <si>
    <t>₹71,817</t>
  </si>
  <si>
    <t>₹60,111</t>
  </si>
  <si>
    <t>₹-11,706</t>
  </si>
  <si>
    <t>-16.3%</t>
  </si>
  <si>
    <t>83.7%</t>
  </si>
  <si>
    <t>WITHIN BUDGET</t>
  </si>
  <si>
    <t>████████░░</t>
  </si>
  <si>
    <t>🟢 OK</t>
  </si>
  <si>
    <t>₹59,375</t>
  </si>
  <si>
    <t>₹40,955</t>
  </si>
  <si>
    <t>₹-18,420</t>
  </si>
  <si>
    <t>-31.0%</t>
  </si>
  <si>
    <t>69.0%</t>
  </si>
  <si>
    <t>██████░░░░</t>
  </si>
  <si>
    <t>₹69,924</t>
  </si>
  <si>
    <t>₹47,780</t>
  </si>
  <si>
    <t>₹-22,144</t>
  </si>
  <si>
    <t>-31.7%</t>
  </si>
  <si>
    <t>68.3%</t>
  </si>
  <si>
    <t>₹61,800</t>
  </si>
  <si>
    <t>₹27,760</t>
  </si>
  <si>
    <t>₹-34,040</t>
  </si>
  <si>
    <t>-55.1%</t>
  </si>
  <si>
    <t>44.9%</t>
  </si>
  <si>
    <t>████░░░░░░</t>
  </si>
  <si>
    <t>₹374,504</t>
  </si>
  <si>
    <t>₹310,238</t>
  </si>
  <si>
    <t>₹-64,266</t>
  </si>
  <si>
    <t>-17.2%</t>
  </si>
  <si>
    <t>82.8%</t>
  </si>
  <si>
    <t xml:space="preserve">  ⚠️  OVER-BUDGET DEPARTMENTS — ACTION REQUIRED</t>
  </si>
  <si>
    <t>Overspend (₹)</t>
  </si>
  <si>
    <t>Overspend %</t>
  </si>
  <si>
    <t>Severity</t>
  </si>
  <si>
    <t>Suggested Action</t>
  </si>
  <si>
    <t>₹14,762</t>
  </si>
  <si>
    <t>30.4%</t>
  </si>
  <si>
    <t>Immediate budget review &amp; freeze</t>
  </si>
  <si>
    <t>₹7,282</t>
  </si>
  <si>
    <t>11.6%</t>
  </si>
  <si>
    <t>Escalate to finance team</t>
  </si>
  <si>
    <t xml:space="preserve">  ✅  WITHIN-BUDGET DEPARTMENTS — PERFORMING WELL</t>
  </si>
  <si>
    <t>Savings (₹)</t>
  </si>
  <si>
    <t>Savings %</t>
  </si>
  <si>
    <t>Performance</t>
  </si>
  <si>
    <t>Note</t>
  </si>
  <si>
    <t>₹34,040</t>
  </si>
  <si>
    <t>55.1%</t>
  </si>
  <si>
    <t>⭐ Excellent</t>
  </si>
  <si>
    <t>Budget well managed</t>
  </si>
  <si>
    <t>₹22,144</t>
  </si>
  <si>
    <t>31.7%</t>
  </si>
  <si>
    <t>₹18,420</t>
  </si>
  <si>
    <t>31.0%</t>
  </si>
  <si>
    <t>₹11,706</t>
  </si>
  <si>
    <t>16.3%</t>
  </si>
  <si>
    <t>👍 Good</t>
  </si>
  <si>
    <t>📊  BUDGET vs ACTUAL — DEPARTMENTAL VARIANCE REPORT</t>
  </si>
  <si>
    <t>Report Period: FY 2025–26   |   Report Date: 25 March 2026   |   Total Departments: 6   |   Source: Budget_vs_Actual Sheet</t>
  </si>
  <si>
    <t>NET VARIANCE
₹-64,266</t>
  </si>
  <si>
    <t>TOTAL SAVINGS
₹86,310</t>
  </si>
  <si>
    <t xml:space="preserve">  DEPARTMENT-WISE VARIANCE REPORT</t>
  </si>
  <si>
    <t>Recommendation</t>
  </si>
  <si>
    <t>130.4%  ██████████</t>
  </si>
  <si>
    <t>🔴 OVER BUDGET</t>
  </si>
  <si>
    <t>🔴 Critical Overspend</t>
  </si>
  <si>
    <t>Immediate cost freeze &amp; audit</t>
  </si>
  <si>
    <t>111.6%  ██████████</t>
  </si>
  <si>
    <t>🟠 High Overspend</t>
  </si>
  <si>
    <t>Escalate to Finance; cut discretionary spend</t>
  </si>
  <si>
    <t>83.7%  ████████░░</t>
  </si>
  <si>
    <t>🟢 WITHIN BUDGET</t>
  </si>
  <si>
    <t>✅ Good Control</t>
  </si>
  <si>
    <t>Continue current spend plan</t>
  </si>
  <si>
    <t>69.0%  ██████░░░░</t>
  </si>
  <si>
    <t>🏅 Great Performance</t>
  </si>
  <si>
    <t>Commend team; maintain discipline</t>
  </si>
  <si>
    <t>68.3%  ██████░░░░</t>
  </si>
  <si>
    <t>44.9%  ████░░░░░░</t>
  </si>
  <si>
    <t>⭐ Exceptional Savings</t>
  </si>
  <si>
    <t>Reallocate surplus to under-funded areas</t>
  </si>
  <si>
    <t>₹86,310</t>
  </si>
  <si>
    <t>₹22,044</t>
  </si>
  <si>
    <t xml:space="preserve">  INDIVIDUAL DEPARTMENT VARIANCE CARDS</t>
  </si>
  <si>
    <t xml:space="preserve">  SALES DEPARTMENT</t>
  </si>
  <si>
    <t>Utilisation</t>
  </si>
  <si>
    <t>🟢 WITHIN</t>
  </si>
  <si>
    <t xml:space="preserve">  MARKETING DEPARTMENT</t>
  </si>
  <si>
    <t xml:space="preserve">  ACCOUNTS DEPARTMENT</t>
  </si>
  <si>
    <t xml:space="preserve">  HR DEPARTMENT</t>
  </si>
  <si>
    <t xml:space="preserve">  IT DEPARTMENT</t>
  </si>
  <si>
    <t>🔴 OVER</t>
  </si>
  <si>
    <t xml:space="preserve">  ADMIN DEPARTMENT</t>
  </si>
  <si>
    <t>📈  SALES PERFORMANCE DASHBOARD  —  REGION-WISE &amp; PRODUCT-WISE ANALYSIS</t>
  </si>
  <si>
    <t>Period: January – April 2026   |   Total Transactions: 400   |   Report Date: 25 March 2026   |   Source: Sales_Data Sheet</t>
  </si>
  <si>
    <t>💰 TOTAL REVENUE
₹11,819,830</t>
  </si>
  <si>
    <t>📊 TOTAL TRANSACTIONS
400</t>
  </si>
  <si>
    <t>💵 AVG SALE VALUE
₹29,550</t>
  </si>
  <si>
    <t>🏆 TOP REGION
West</t>
  </si>
  <si>
    <t>🥇 TOP PRODUCT
Tally</t>
  </si>
  <si>
    <t>📅 DATE RANGE
Jan – Apr 2026</t>
  </si>
  <si>
    <t xml:space="preserve">  🌍 REGION-WISE SALES SUMMARY</t>
  </si>
  <si>
    <t xml:space="preserve">  📚 PRODUCT-WISE SALES SUMMARY</t>
  </si>
  <si>
    <t>Total Sales (₹)</t>
  </si>
  <si>
    <t>Avg Sale (₹)</t>
  </si>
  <si>
    <t>vs Avg</t>
  </si>
  <si>
    <t>₹3,607,460</t>
  </si>
  <si>
    <t>30.5%</t>
  </si>
  <si>
    <t>₹31,098</t>
  </si>
  <si>
    <t>+22.1%</t>
  </si>
  <si>
    <t>₹3,277,987</t>
  </si>
  <si>
    <t>27.7%</t>
  </si>
  <si>
    <t>₹30,635</t>
  </si>
  <si>
    <t>+10.9%</t>
  </si>
  <si>
    <t>₹3,000,144</t>
  </si>
  <si>
    <t>25.4%</t>
  </si>
  <si>
    <t>₹30,613</t>
  </si>
  <si>
    <t>+1.5%</t>
  </si>
  <si>
    <t>₹2,954,852</t>
  </si>
  <si>
    <t>₹30,779</t>
  </si>
  <si>
    <t>+-0.0%</t>
  </si>
  <si>
    <t>₹2,748,083</t>
  </si>
  <si>
    <t>23.2%</t>
  </si>
  <si>
    <t>₹26,172</t>
  </si>
  <si>
    <t>-7.0%</t>
  </si>
  <si>
    <t>₹2,919,573</t>
  </si>
  <si>
    <t>24.7%</t>
  </si>
  <si>
    <t>₹27,033</t>
  </si>
  <si>
    <t>-1.2%</t>
  </si>
  <si>
    <t>₹2,464,143</t>
  </si>
  <si>
    <t>20.8%</t>
  </si>
  <si>
    <t>₹30,421</t>
  </si>
  <si>
    <t>4th</t>
  </si>
  <si>
    <t>-16.6%</t>
  </si>
  <si>
    <t>₹2,667,418</t>
  </si>
  <si>
    <t>22.6%</t>
  </si>
  <si>
    <t>₹29,970</t>
  </si>
  <si>
    <t>-9.7%</t>
  </si>
  <si>
    <t>₹11,819,830</t>
  </si>
  <si>
    <t>₹29,549</t>
  </si>
  <si>
    <t xml:space="preserve">  🔀 REGION × PRODUCT CROSS-ANALYSIS  (Sales in ₹)</t>
  </si>
  <si>
    <t xml:space="preserve">  📅 MONTHLY SALES TREND (Jan – Apr 2026)</t>
  </si>
  <si>
    <t>Region \ Product</t>
  </si>
  <si>
    <t>Row Total</t>
  </si>
  <si>
    <t>Month Total</t>
  </si>
  <si>
    <t>₹794,100</t>
  </si>
  <si>
    <t>₹939,581</t>
  </si>
  <si>
    <t>₹1,020,822</t>
  </si>
  <si>
    <t>₹852,957</t>
  </si>
  <si>
    <t>Jan-26</t>
  </si>
  <si>
    <t>₹996,246</t>
  </si>
  <si>
    <t>₹750,013</t>
  </si>
  <si>
    <t>₹669,545</t>
  </si>
  <si>
    <t>₹529,545</t>
  </si>
  <si>
    <t>₹2,945,349</t>
  </si>
  <si>
    <t>₹978,748</t>
  </si>
  <si>
    <t>₹491,115</t>
  </si>
  <si>
    <t>₹582,698</t>
  </si>
  <si>
    <t>₹695,522</t>
  </si>
  <si>
    <t>Feb-26</t>
  </si>
  <si>
    <t>₹803,275</t>
  </si>
  <si>
    <t>₹542,794</t>
  </si>
  <si>
    <t>₹628,946</t>
  </si>
  <si>
    <t>₹665,389</t>
  </si>
  <si>
    <t>₹2,640,404</t>
  </si>
  <si>
    <t>₹935,015</t>
  </si>
  <si>
    <t>₹604,036</t>
  </si>
  <si>
    <t>₹876,421</t>
  </si>
  <si>
    <t>₹584,672</t>
  </si>
  <si>
    <t>Mar-26</t>
  </si>
  <si>
    <t>₹696,050</t>
  </si>
  <si>
    <t>₹561,793</t>
  </si>
  <si>
    <t>₹862,213</t>
  </si>
  <si>
    <t>₹611,398</t>
  </si>
  <si>
    <t>₹2,731,454</t>
  </si>
  <si>
    <t>₹570,124</t>
  </si>
  <si>
    <t>₹920,120</t>
  </si>
  <si>
    <t>₹439,632</t>
  </si>
  <si>
    <t>₹534,267</t>
  </si>
  <si>
    <t>Apr-26</t>
  </si>
  <si>
    <t>₹1,111,889</t>
  </si>
  <si>
    <t>₹804,961</t>
  </si>
  <si>
    <t>₹777,733</t>
  </si>
  <si>
    <t>₹657,811</t>
  </si>
  <si>
    <t>₹3,352,394</t>
  </si>
  <si>
    <t>Col Total</t>
  </si>
  <si>
    <t>Total Sales</t>
  </si>
  <si>
    <t>📊  Sales Pivot Table — Region × Product</t>
  </si>
  <si>
    <t>Note: Values represent total Sales Amount (₹). Color scale: darker blue = higher sales. Data bar in Grand Total column.</t>
  </si>
  <si>
    <t>📊  Sales Performance Analysis — Top Products &amp; Regions</t>
  </si>
  <si>
    <t>🏆 Top Product
Tally Course</t>
  </si>
  <si>
    <t>🌍 Top Region
West</t>
  </si>
  <si>
    <t>💰 Total Revenue
₹ 11,819,830</t>
  </si>
  <si>
    <t>📦 Total Records
400 transactions</t>
  </si>
  <si>
    <t>📦  Product-wise Total Sales</t>
  </si>
  <si>
    <t>🌍  Region-wise Total Sales</t>
  </si>
  <si>
    <t>📅  Monthly Revenue Trend</t>
  </si>
  <si>
    <t>Revenue</t>
  </si>
  <si>
    <t>🥇 Tally Course</t>
  </si>
  <si>
    <t>🥇 West</t>
  </si>
  <si>
    <t>2026-01</t>
  </si>
  <si>
    <t>2026-02</t>
  </si>
  <si>
    <t>2026-03</t>
  </si>
  <si>
    <t>2026-04</t>
  </si>
  <si>
    <t>2026-05</t>
  </si>
  <si>
    <t>🔥  Region × Product Sales Heatmap</t>
  </si>
  <si>
    <t>🏅  Top 10 Highest Sales Transactions</t>
  </si>
  <si>
    <t>Sales Amount</t>
  </si>
  <si>
    <t>2026-04-29</t>
  </si>
  <si>
    <t>2026-02-22</t>
  </si>
  <si>
    <t>2026-03-11</t>
  </si>
  <si>
    <t>2026-04-02</t>
  </si>
  <si>
    <t>2026-04-28</t>
  </si>
  <si>
    <t>Analysis based on Sales_Data sheet | 400 transactions | Jan–May 2026 | 🥇 = Top performer | Green = above avg | Red = below avg</t>
  </si>
  <si>
    <t>Sheet</t>
  </si>
  <si>
    <t>OrderID</t>
  </si>
  <si>
    <t>CustomerName</t>
  </si>
  <si>
    <t>Price</t>
  </si>
  <si>
    <t>Quantity</t>
  </si>
  <si>
    <t>ORD10000</t>
  </si>
  <si>
    <t>Pooja Bansal</t>
  </si>
  <si>
    <t>pooja95@gmail.com</t>
  </si>
  <si>
    <t>Charger</t>
  </si>
  <si>
    <t>Tech</t>
  </si>
  <si>
    <t>ORD10001</t>
  </si>
  <si>
    <t>Sneha Verma</t>
  </si>
  <si>
    <t>sneha12@gmail.com</t>
  </si>
  <si>
    <t>Tablet</t>
  </si>
  <si>
    <t>Electronics</t>
  </si>
  <si>
    <t>ORD10002</t>
  </si>
  <si>
    <t>arjun5@gmail.com</t>
  </si>
  <si>
    <t>Headphones</t>
  </si>
  <si>
    <t>ORD10004</t>
  </si>
  <si>
    <t>ORD10003</t>
  </si>
  <si>
    <t>neha3@gmail.com</t>
  </si>
  <si>
    <t>ORD10006</t>
  </si>
  <si>
    <t>neha60@gmail.com</t>
  </si>
  <si>
    <t>Mouse</t>
  </si>
  <si>
    <t>ORD10008</t>
  </si>
  <si>
    <t>ORD10005</t>
  </si>
  <si>
    <t>Meena Sharma</t>
  </si>
  <si>
    <t>meena84@gmail.com</t>
  </si>
  <si>
    <t>USB Cable</t>
  </si>
  <si>
    <t>ORD10010</t>
  </si>
  <si>
    <t>Rohit Arora</t>
  </si>
  <si>
    <t>rohit138@gmail.com</t>
  </si>
  <si>
    <t>Monitor</t>
  </si>
  <si>
    <t>ORD10012</t>
  </si>
  <si>
    <t>ORD10007</t>
  </si>
  <si>
    <t>sneha180@gmail.com</t>
  </si>
  <si>
    <t>Gadgets</t>
  </si>
  <si>
    <t>ORD10014</t>
  </si>
  <si>
    <t>ORD10009</t>
  </si>
  <si>
    <t>vikas143@gmail.com</t>
  </si>
  <si>
    <t>ORD10016</t>
  </si>
  <si>
    <t>Neha Kapoor</t>
  </si>
  <si>
    <t>neha49@gmail.com</t>
  </si>
  <si>
    <t>arjun46@gmail.com</t>
  </si>
  <si>
    <t>ORD10013</t>
  </si>
  <si>
    <t>Rohit Jain</t>
  </si>
  <si>
    <t>rohit42@gmail.com</t>
  </si>
  <si>
    <t>Anjali Mehta</t>
  </si>
  <si>
    <t>anjali175@gmail.com</t>
  </si>
  <si>
    <t>Webcam</t>
  </si>
  <si>
    <t>ORD10015</t>
  </si>
  <si>
    <t>Priya Arora</t>
  </si>
  <si>
    <t>priya199@gmail.com</t>
  </si>
  <si>
    <t>Anjali Jain</t>
  </si>
  <si>
    <t>anjali106@gmail.com</t>
  </si>
  <si>
    <t>ORD10017</t>
  </si>
  <si>
    <t>karan171@gmail.com</t>
  </si>
  <si>
    <t>Order data with columns: OrderID, CustomerName, Email, Product, Category, Price, Quantity. A lookup/formula demo area is set up on the right side (columns J–M) referencing selected OrderIDs — likely for VLOOKUP/XLOOKUP exercises.</t>
  </si>
  <si>
    <t>Intentionally dirty data with Name, City, Sales. Issues include leading/trailing spaces in names ("Priya ", " Rohit"), inconsistent city casing ("delhi", "Delhi ", " mumbai") — designed for data cleaning practice.</t>
  </si>
  <si>
    <t>Employee payroll records: Emp_ID, Employee_Name, Department, Basic_Salary, Bonus, Deductions. Covers departments like IT, Sales, HR, Accounts, Marketing, Admin. Net salary calculation can be derived as Basic + Bonus − Deductions.</t>
  </si>
  <si>
    <t>Internal cash book entries for Jan 2026: Date, Description (Consulting Fee, Utility Bill, Office Rent, Software Purchase, Client Payment), Amount (mix of positive/negative values).</t>
  </si>
  <si>
    <t>Daily expense log for Jan 2026: Date, Category (Travel, Marketing, Utilities, Office, Software), Description, Amount. Great for category-wise expense summaries.</t>
  </si>
  <si>
    <t>Stock records: Item_ID (300–339), Item_Name, Stock_Available, Reorder_Level, Supplier (HP, Dell, Epson, Lenovo, Samsung, Logitech). Several items have stock below reorder level — useful for low-stock alert formulas.</t>
  </si>
  <si>
    <t>Sales pipeline tracker: Client_Name, Company, Last_Contact_Date, Status (Follow-up, Interested, Negotiation, Closed, Demo Given), Next_Followup date.</t>
  </si>
  <si>
    <t>Compact comparison of Budget vs. Actual spend for: Sales, Marketing, Accounts, HR, IT, Admin. IT and Admin have exceeded their budgets — variance analysis ready.</t>
  </si>
  <si>
    <t>The largest dataset. Sales transactions with Date, Region (North/South/East/West), Product (Power BI Course, GST Course, Tally Course, Excel Course), and Sales_Amount. Spans Jan–Apr 2026.</t>
  </si>
  <si>
    <t>A built-in guide sheet listing ready-to-use Claude prompts mapped to each sheet — covering email generation, data cleaning, payroll calculation, bank reconciliation, inventory alerts, pivot analysis, and more.</t>
  </si>
  <si>
    <t>Summary Stats</t>
  </si>
  <si>
    <t>Purpose</t>
  </si>
  <si>
    <t>Formula</t>
  </si>
  <si>
    <t>VLOOKUP/formula demo</t>
  </si>
  <si>
    <t>Course enrollment &amp; email automation</t>
  </si>
  <si>
    <t>Data cleaning practice</t>
  </si>
  <si>
    <t>Salary &amp; payroll calculations</t>
  </si>
  <si>
    <t>Internal cash book</t>
  </si>
  <si>
    <t>Bank reconciliation</t>
  </si>
  <si>
    <t>Expense tracking</t>
  </si>
  <si>
    <t>Stock management</t>
  </si>
  <si>
    <t>Sales pipeline</t>
  </si>
  <si>
    <t>Variance analysis</t>
  </si>
  <si>
    <t>Sales dashboard/pivot</t>
  </si>
  <si>
    <t>Prompts</t>
  </si>
  <si>
    <t>Claude prompt guide</t>
  </si>
  <si>
    <r>
      <t xml:space="preserve">Here's a comprehensive overview of your </t>
    </r>
    <r>
      <rPr>
        <b/>
        <sz val="12"/>
        <color theme="1"/>
        <rFont val="Aptos"/>
        <family val="2"/>
      </rPr>
      <t>Excel_Demo.xlsx</t>
    </r>
    <r>
      <rPr>
        <sz val="12"/>
        <color theme="1"/>
        <rFont val="Aptos"/>
        <family val="2"/>
      </rPr>
      <t xml:space="preserve"> workbook:</t>
    </r>
  </si>
  <si>
    <r>
      <t xml:space="preserve">The file contains </t>
    </r>
    <r>
      <rPr>
        <b/>
        <sz val="12"/>
        <color theme="1"/>
        <rFont val="Aptos"/>
        <family val="2"/>
      </rPr>
      <t>12 sheets</t>
    </r>
    <r>
      <rPr>
        <sz val="12"/>
        <color theme="1"/>
        <rFont val="Aptos"/>
        <family val="2"/>
      </rPr>
      <t xml:space="preserve"> covering a wide range of business use cases. Here's a breakdown of each:</t>
    </r>
  </si>
  <si>
    <r>
      <t xml:space="preserve">Client enrollment data for online courses (Power BI, GST Mastery, Tally Prime, Advanced Excel). Fields: Client_ID, Client_Name, Email, Course, </t>
    </r>
    <r>
      <rPr>
        <b/>
        <sz val="12"/>
        <color theme="1"/>
        <rFont val="Aptos"/>
        <family val="2"/>
      </rPr>
      <t>Fee_Status</t>
    </r>
    <r>
      <rPr>
        <sz val="12"/>
        <color theme="1"/>
        <rFont val="Aptos"/>
        <family val="2"/>
      </rPr>
      <t xml:space="preserve"> (Paid/Pending), Enrollment_Date (Jan 2026).</t>
    </r>
  </si>
  <si>
    <r>
      <t xml:space="preserve">Bank's version of transactions for the same period — includes a "Bank Charges" entry not present in Bank_Books, making it ideal for a </t>
    </r>
    <r>
      <rPr>
        <b/>
        <sz val="12"/>
        <color theme="1"/>
        <rFont val="Aptos"/>
        <family val="2"/>
      </rPr>
      <t>bank reconciliation</t>
    </r>
    <r>
      <rPr>
        <sz val="12"/>
        <color theme="1"/>
        <rFont val="Aptos"/>
        <family val="2"/>
      </rPr>
      <t xml:space="preserve"> exercise.</t>
    </r>
  </si>
  <si>
    <r>
      <t xml:space="preserve">This workbook is clearly designed as a </t>
    </r>
    <r>
      <rPr>
        <b/>
        <sz val="12"/>
        <color theme="1"/>
        <rFont val="Aptos"/>
        <family val="2"/>
      </rPr>
      <t>demo/training workbook</t>
    </r>
    <r>
      <rPr>
        <sz val="12"/>
        <color theme="1"/>
        <rFont val="Aptos"/>
        <family val="2"/>
      </rPr>
      <t xml:space="preserve"> for Excel and Claude AI use cases. What would you like to work on first?</t>
    </r>
  </si>
  <si>
    <r>
      <t>📋</t>
    </r>
    <r>
      <rPr>
        <b/>
        <sz val="12"/>
        <color rgb="FFFFFF00"/>
        <rFont val="Aptos"/>
        <family val="2"/>
      </rPr>
      <t xml:space="preserve"> Workbook Overview</t>
    </r>
  </si>
  <si>
    <r>
      <t>1. 📦</t>
    </r>
    <r>
      <rPr>
        <b/>
        <sz val="12"/>
        <color rgb="FFFFFF00"/>
        <rFont val="Aptos"/>
        <family val="2"/>
      </rPr>
      <t xml:space="preserve"> Formula </t>
    </r>
    <r>
      <rPr>
        <b/>
        <i/>
        <sz val="12"/>
        <color rgb="FFFFFF00"/>
        <rFont val="Aptos"/>
        <family val="2"/>
      </rPr>
      <t>(A1:M17 — 17 rows, 13 cols)</t>
    </r>
  </si>
  <si>
    <r>
      <t>12. 💡</t>
    </r>
    <r>
      <rPr>
        <b/>
        <sz val="12"/>
        <color rgb="FFFFFF00"/>
        <rFont val="Aptos"/>
        <family val="2"/>
      </rPr>
      <t xml:space="preserve"> Prompts </t>
    </r>
    <r>
      <rPr>
        <b/>
        <i/>
        <sz val="12"/>
        <color rgb="FFFFFF00"/>
        <rFont val="Aptos"/>
        <family val="2"/>
      </rPr>
      <t>(A1:C35)</t>
    </r>
  </si>
  <si>
    <r>
      <t>11. 📈</t>
    </r>
    <r>
      <rPr>
        <b/>
        <sz val="12"/>
        <color rgb="FFFFFF00"/>
        <rFont val="Aptos"/>
        <family val="2"/>
      </rPr>
      <t xml:space="preserve"> Sales_Data </t>
    </r>
    <r>
      <rPr>
        <b/>
        <i/>
        <sz val="12"/>
        <color rgb="FFFFFF00"/>
        <rFont val="Aptos"/>
        <family val="2"/>
      </rPr>
      <t>(A1:D401 — 400 records)</t>
    </r>
  </si>
  <si>
    <r>
      <t>10. 📊</t>
    </r>
    <r>
      <rPr>
        <b/>
        <sz val="12"/>
        <color rgb="FFFFFF00"/>
        <rFont val="Aptos"/>
        <family val="2"/>
      </rPr>
      <t xml:space="preserve"> Budget_vs_Actual </t>
    </r>
    <r>
      <rPr>
        <b/>
        <i/>
        <sz val="12"/>
        <color rgb="FFFFFF00"/>
        <rFont val="Aptos"/>
        <family val="2"/>
      </rPr>
      <t>(A1:C7 — 6 departments)</t>
    </r>
  </si>
  <si>
    <r>
      <t>9. 🤝</t>
    </r>
    <r>
      <rPr>
        <b/>
        <sz val="12"/>
        <color rgb="FFFFFF00"/>
        <rFont val="Aptos"/>
        <family val="2"/>
      </rPr>
      <t xml:space="preserve"> Client_Followup </t>
    </r>
    <r>
      <rPr>
        <b/>
        <i/>
        <sz val="12"/>
        <color rgb="FFFFFF00"/>
        <rFont val="Aptos"/>
        <family val="2"/>
      </rPr>
      <t>(A1:E41 — 40 clients)</t>
    </r>
  </si>
  <si>
    <r>
      <t>8. 📦</t>
    </r>
    <r>
      <rPr>
        <b/>
        <sz val="12"/>
        <color rgb="FFFFFF00"/>
        <rFont val="Aptos"/>
        <family val="2"/>
      </rPr>
      <t xml:space="preserve"> Inventory </t>
    </r>
    <r>
      <rPr>
        <b/>
        <i/>
        <sz val="12"/>
        <color rgb="FFFFFF00"/>
        <rFont val="Aptos"/>
        <family val="2"/>
      </rPr>
      <t>(A1:E41 — 40 items)</t>
    </r>
  </si>
  <si>
    <r>
      <t>6. 🏦</t>
    </r>
    <r>
      <rPr>
        <b/>
        <sz val="12"/>
        <color rgb="FFFFFF00"/>
        <rFont val="Aptos"/>
        <family val="2"/>
      </rPr>
      <t xml:space="preserve"> Bank_Statement </t>
    </r>
    <r>
      <rPr>
        <b/>
        <i/>
        <sz val="12"/>
        <color rgb="FFFFFF00"/>
        <rFont val="Aptos"/>
        <family val="2"/>
      </rPr>
      <t>(A1:C41 — 40 transactions)</t>
    </r>
  </si>
  <si>
    <r>
      <t>5. 🏦</t>
    </r>
    <r>
      <rPr>
        <b/>
        <sz val="12"/>
        <color rgb="FFFFFF00"/>
        <rFont val="Aptos"/>
        <family val="2"/>
      </rPr>
      <t xml:space="preserve"> Bank_Books </t>
    </r>
    <r>
      <rPr>
        <b/>
        <i/>
        <sz val="12"/>
        <color rgb="FFFFFF00"/>
        <rFont val="Aptos"/>
        <family val="2"/>
      </rPr>
      <t>(A1:C41 — 40 transactions)</t>
    </r>
  </si>
  <si>
    <r>
      <t>7. 💸</t>
    </r>
    <r>
      <rPr>
        <b/>
        <sz val="12"/>
        <color rgb="FFFFFF00"/>
        <rFont val="Aptos"/>
        <family val="2"/>
      </rPr>
      <t xml:space="preserve"> Expenses </t>
    </r>
    <r>
      <rPr>
        <b/>
        <i/>
        <sz val="12"/>
        <color rgb="FFFFFF00"/>
        <rFont val="Aptos"/>
        <family val="2"/>
      </rPr>
      <t>(A1:D41 — 40 records)</t>
    </r>
  </si>
  <si>
    <r>
      <t>4. 💰</t>
    </r>
    <r>
      <rPr>
        <b/>
        <sz val="12"/>
        <color rgb="FFFFFF00"/>
        <rFont val="Aptos"/>
        <family val="2"/>
      </rPr>
      <t xml:space="preserve"> Payroll_Data </t>
    </r>
    <r>
      <rPr>
        <b/>
        <i/>
        <sz val="12"/>
        <color rgb="FFFFFF00"/>
        <rFont val="Aptos"/>
        <family val="2"/>
      </rPr>
      <t>(A1:F41 — 40 employees)</t>
    </r>
  </si>
  <si>
    <r>
      <t>3. 🧹</t>
    </r>
    <r>
      <rPr>
        <b/>
        <sz val="12"/>
        <color rgb="FFFFFF00"/>
        <rFont val="Aptos"/>
        <family val="2"/>
      </rPr>
      <t xml:space="preserve"> Raw_Messy_Data </t>
    </r>
    <r>
      <rPr>
        <b/>
        <i/>
        <sz val="12"/>
        <color rgb="FFFFFF00"/>
        <rFont val="Aptos"/>
        <family val="2"/>
      </rPr>
      <t>(A1:C45 — 44 records)</t>
    </r>
  </si>
  <si>
    <r>
      <t>2. 📧</t>
    </r>
    <r>
      <rPr>
        <b/>
        <sz val="12"/>
        <color rgb="FFFFFF00"/>
        <rFont val="Aptos"/>
        <family val="2"/>
      </rPr>
      <t xml:space="preserve"> Email_Data </t>
    </r>
    <r>
      <rPr>
        <b/>
        <i/>
        <sz val="12"/>
        <color rgb="FFFFFF00"/>
        <rFont val="Aptos"/>
        <family val="2"/>
      </rPr>
      <t>(A1:F41 — 40 records)</t>
    </r>
  </si>
  <si>
    <t>📋  Excel Demo — Workbook Index</t>
  </si>
  <si>
    <t>Total Sheets: 12   |   Click any sheet name to navigate</t>
  </si>
  <si>
    <t>Go To</t>
  </si>
  <si>
    <t>VLOOKUP / XLOOKUP formula demonstrations on order data</t>
  </si>
  <si>
    <t>→ Open</t>
  </si>
  <si>
    <t>Client enrollment records with fee status for email automation</t>
  </si>
  <si>
    <t>Intentionally messy sales data for data cleaning practice</t>
  </si>
  <si>
    <t>Employee salary, bonus &amp; deductions for payroll calculations</t>
  </si>
  <si>
    <t>Internal cash book entries (Date, Description, Amount)</t>
  </si>
  <si>
    <t>External bank statement entries for reconciliation</t>
  </si>
  <si>
    <t>Business expense records by category and date</t>
  </si>
  <si>
    <t>Stock levels, reorder points and supplier information</t>
  </si>
  <si>
    <t>CRM-style client pipeline with status and follow-up dates</t>
  </si>
  <si>
    <t>Department-wise budget vs actual spend for variance analysis</t>
  </si>
  <si>
    <t>400-row sales dataset by region, product and date</t>
  </si>
  <si>
    <t>Ready-to-use Claude AI prompts mapped to each sheet</t>
  </si>
  <si>
    <t>Excel Demo Workbook  |  Generated with Claude AI  |  All rights reserved</t>
  </si>
  <si>
    <t>← Back to Index</t>
  </si>
  <si>
    <t>Raw_Messy_Data — Cleaning Report  |  Original: 44  →  Duplicates Removed: 4  →  Clean Records: 40</t>
  </si>
  <si>
    <t>✅  CLEANED DATA  (40 records)</t>
  </si>
  <si>
    <t>⚠️  ORIGINAL RAW DATA  (44 records — 4 duplicates highlighted)</t>
  </si>
  <si>
    <t>Name (Raw)</t>
  </si>
  <si>
    <t>City (Raw)</t>
  </si>
  <si>
    <t>'Priya '</t>
  </si>
  <si>
    <t>' mumbai'</t>
  </si>
  <si>
    <t>✅ Unique</t>
  </si>
  <si>
    <t>' Rohit'</t>
  </si>
  <si>
    <t>'delhi'</t>
  </si>
  <si>
    <t>'Neha '</t>
  </si>
  <si>
    <t>'Bangalore'</t>
  </si>
  <si>
    <t>' Aman'</t>
  </si>
  <si>
    <t>'Pune '</t>
  </si>
  <si>
    <t>'Rohit '</t>
  </si>
  <si>
    <t>'Delhi '</t>
  </si>
  <si>
    <t>🔴 Duplicate</t>
  </si>
  <si>
    <t>Net_Salary</t>
  </si>
  <si>
    <t>Total Payroll</t>
  </si>
  <si>
    <t>Highest Salary</t>
  </si>
  <si>
    <t>Lowest Salary</t>
  </si>
  <si>
    <t>Average Salary</t>
  </si>
  <si>
    <t>INVENTORY SUMMARY REPORT</t>
  </si>
  <si>
    <t>OK Stock Items</t>
  </si>
  <si>
    <t>Total Shortage</t>
  </si>
  <si>
    <t>Suppliers</t>
  </si>
  <si>
    <t xml:space="preserve">  A.  All Inventory Items</t>
  </si>
  <si>
    <t>OK</t>
  </si>
  <si>
    <t>Low Stock</t>
  </si>
  <si>
    <t xml:space="preserve">  B.  Low Stock Items  (11 items require restocking)</t>
  </si>
  <si>
    <t>Order 12 units from Lenovo</t>
  </si>
  <si>
    <t>Order 12 units from HP</t>
  </si>
  <si>
    <t>Order 10 units from Logitech</t>
  </si>
  <si>
    <t>Order 6 units from Epson</t>
  </si>
  <si>
    <t>Order 5 units from Epson</t>
  </si>
  <si>
    <t>Order 5 units from Samsung</t>
  </si>
  <si>
    <t>Order 5 units from HP</t>
  </si>
  <si>
    <t>Order 2 units from Logitech</t>
  </si>
  <si>
    <t>Order 2 units from HP</t>
  </si>
  <si>
    <t>Order 1 units from Lenovo</t>
  </si>
  <si>
    <t xml:space="preserve">  C.  Supplier-wise Summary</t>
  </si>
  <si>
    <t>Avg Stock</t>
  </si>
  <si>
    <t>Low Stock %</t>
  </si>
  <si>
    <t>At Reorder Level</t>
  </si>
  <si>
    <t>OK / Sufficient</t>
  </si>
  <si>
    <t>Days Since Contact</t>
  </si>
  <si>
    <t>Won — no further action needed</t>
  </si>
  <si>
    <t>Priority Action</t>
  </si>
  <si>
    <t xml:space="preserve">  CLOSED  —  11 clients</t>
  </si>
  <si>
    <t>Immediate call required</t>
  </si>
  <si>
    <t xml:space="preserve">  FOLLOW-UP  —  9 clients</t>
  </si>
  <si>
    <t>Advance deal — send revised proposal</t>
  </si>
  <si>
    <t xml:space="preserve">  NEGOTIATION  —  7 clients</t>
  </si>
  <si>
    <t>Follow-up post-demo — seek feedback</t>
  </si>
  <si>
    <t xml:space="preserve">  DEMO GIVEN  —  3 clients</t>
  </si>
  <si>
    <t>Re-engage — send personalised pitch</t>
  </si>
  <si>
    <t xml:space="preserve">  INTERESTED  —  10 clients</t>
  </si>
  <si>
    <t>CLIENT DETAIL — ALL STATUSES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</si>
</sst>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
    <numFmt numFmtId="166" formatCode="#,##0;\(#,##0\)"/>
    <numFmt numFmtId="167" formatCode="0.0%"/>
    <numFmt numFmtId="168" formatCode="\+#,##0;\-#,##0;\-"/>
    <numFmt numFmtId="169" formatCode="dd\-mmm\-yyyy"/>
  </numFmts>
  <fonts count="221" x14ac:knownFonts="1">
    <font>
      <sz val="11"/>
      <color theme="1"/>
      <name val="Calibri"/>
      <family val="2"/>
      <scheme val="minor"/>
    </font>
    <font>
      <b/>
      <sz val="11"/>
      <color theme="1"/>
      <name val="Calibri"/>
      <family val="2"/>
      <scheme val="minor"/>
    </font>
    <font>
      <i/>
      <sz val="9"/>
      <color rgb="FF595959"/>
      <name val="Arial"/>
      <family val="2"/>
    </font>
    <font>
      <b/>
      <sz val="10"/>
      <color rgb="FFFFFFFF"/>
      <name val="Arial"/>
      <family val="2"/>
    </font>
    <font>
      <b/>
      <sz val="14"/>
      <color rgb="FFFFFFFF"/>
      <name val="Arial"/>
      <family val="2"/>
    </font>
    <font>
      <i/>
      <sz val="10"/>
      <color rgb="FF1F4E79"/>
      <name val="Arial"/>
      <family val="2"/>
    </font>
    <font>
      <b/>
      <sz val="11"/>
      <color rgb="FFFFFFFF"/>
      <name val="Arial"/>
      <family val="2"/>
    </font>
    <font>
      <sz val="10"/>
      <color rgb="FF1A1A1A"/>
      <name val="Arial"/>
      <family val="2"/>
    </font>
    <font>
      <u/>
      <sz val="10"/>
      <color rgb="FF2E75B6"/>
      <name val="Arial"/>
      <family val="2"/>
    </font>
    <font>
      <b/>
      <sz val="10"/>
      <color rgb="FF7B3200"/>
      <name val="Arial"/>
      <family val="2"/>
    </font>
    <font>
      <sz val="9"/>
      <color rgb="FF2C2C2C"/>
      <name val="Arial"/>
      <family val="2"/>
    </font>
    <font>
      <b/>
      <sz val="10"/>
      <color rgb="FF1E5631"/>
      <name val="Arial"/>
      <family val="2"/>
    </font>
    <font>
      <sz val="10"/>
      <color rgb="FF888888"/>
      <name val="Arial"/>
      <family val="2"/>
    </font>
    <font>
      <sz val="10"/>
      <color rgb="FF999999"/>
      <name val="Arial"/>
      <family val="2"/>
    </font>
    <font>
      <b/>
      <sz val="10"/>
      <color rgb="FF888888"/>
      <name val="Arial"/>
      <family val="2"/>
    </font>
    <font>
      <i/>
      <sz val="9"/>
      <color rgb="FFAAAAAA"/>
      <name val="Arial"/>
      <family val="2"/>
    </font>
    <font>
      <b/>
      <sz val="10"/>
      <color rgb="FF1F4E79"/>
      <name val="Arial"/>
      <family val="2"/>
    </font>
    <font>
      <sz val="9"/>
      <color rgb="FF1A1A1A"/>
      <name val="Arial"/>
      <family val="2"/>
    </font>
    <font>
      <b/>
      <sz val="9"/>
      <color rgb="FFFFFFFF"/>
      <name val="Arial"/>
      <family val="2"/>
    </font>
    <font>
      <b/>
      <u/>
      <sz val="9"/>
      <color rgb="FFFFFFFF"/>
      <name val="Arial"/>
      <family val="2"/>
    </font>
    <font>
      <sz val="10"/>
      <color rgb="FFC00000"/>
      <name val="Arial"/>
      <family val="2"/>
    </font>
    <font>
      <b/>
      <sz val="10"/>
      <color rgb="FF375623"/>
      <name val="Arial"/>
      <family val="2"/>
    </font>
    <font>
      <b/>
      <sz val="10"/>
      <color rgb="FF1F4E79"/>
      <name val="Arial"/>
      <family val="2"/>
    </font>
    <font>
      <sz val="10"/>
      <color rgb="FF888888"/>
      <name val="Arial"/>
      <family val="2"/>
    </font>
    <font>
      <sz val="10"/>
      <color rgb="FF1A1A1A"/>
      <name val="Arial"/>
      <family val="2"/>
    </font>
    <font>
      <b/>
      <sz val="10"/>
      <color rgb="FF1A1A1A"/>
      <name val="Arial"/>
      <family val="2"/>
    </font>
    <font>
      <sz val="10"/>
      <color rgb="FFC00000"/>
      <name val="Arial"/>
      <family val="2"/>
    </font>
    <font>
      <b/>
      <sz val="10"/>
      <color rgb="FF375623"/>
      <name val="Arial"/>
      <family val="2"/>
    </font>
    <font>
      <b/>
      <sz val="10"/>
      <color rgb="FF9C5700"/>
      <name val="Arial"/>
      <family val="2"/>
    </font>
    <font>
      <b/>
      <sz val="15"/>
      <color rgb="FFFFFFFF"/>
      <name val="Arial"/>
      <family val="2"/>
    </font>
    <font>
      <b/>
      <i/>
      <sz val="10"/>
      <color rgb="FF1F4E79"/>
      <name val="Arial"/>
      <family val="2"/>
    </font>
    <font>
      <b/>
      <sz val="11"/>
      <color rgb="FFFFFFFF"/>
      <name val="Arial"/>
      <family val="2"/>
    </font>
    <font>
      <b/>
      <sz val="10"/>
      <color rgb="FFFFFFFF"/>
      <name val="Arial"/>
      <family val="2"/>
    </font>
    <font>
      <b/>
      <sz val="10"/>
      <name val="Arial"/>
      <family val="2"/>
    </font>
    <font>
      <sz val="10"/>
      <color rgb="FF375623"/>
      <name val="Arial"/>
      <family val="2"/>
    </font>
    <font>
      <sz val="10"/>
      <color rgb="FF444444"/>
      <name val="Arial"/>
      <family val="2"/>
    </font>
    <font>
      <sz val="10"/>
      <color rgb="FF666666"/>
      <name val="Arial"/>
      <family val="2"/>
    </font>
    <font>
      <b/>
      <sz val="9"/>
      <color rgb="FFFFFFFF"/>
      <name val="Arial"/>
      <family val="2"/>
    </font>
    <font>
      <sz val="9"/>
      <color rgb="FF888888"/>
      <name val="Arial"/>
      <family val="2"/>
    </font>
    <font>
      <sz val="9"/>
      <color rgb="FF555555"/>
      <name val="Arial"/>
      <family val="2"/>
    </font>
    <font>
      <sz val="9"/>
      <color rgb="FF1A1A1A"/>
      <name val="Arial"/>
      <family val="2"/>
    </font>
    <font>
      <sz val="9"/>
      <color rgb="FF375623"/>
      <name val="Arial"/>
      <family val="2"/>
    </font>
    <font>
      <sz val="9"/>
      <color rgb="FFC00000"/>
      <name val="Arial"/>
      <family val="2"/>
    </font>
    <font>
      <b/>
      <sz val="9"/>
      <color rgb="FF1F4E79"/>
      <name val="Arial"/>
      <family val="2"/>
    </font>
    <font>
      <b/>
      <sz val="9"/>
      <color rgb="FF375623"/>
      <name val="Arial"/>
      <family val="2"/>
    </font>
    <font>
      <b/>
      <sz val="9"/>
      <color rgb="FFC00000"/>
      <name val="Arial"/>
      <family val="2"/>
    </font>
    <font>
      <i/>
      <sz val="9"/>
      <color rgb="FF595959"/>
      <name val="Arial"/>
      <family val="2"/>
    </font>
    <font>
      <sz val="11"/>
      <color theme="1"/>
      <name val="Calibri"/>
      <family val="2"/>
      <charset val="1"/>
    </font>
    <font>
      <i/>
      <sz val="10"/>
      <color rgb="FF595959"/>
      <name val="Arial"/>
      <family val="2"/>
    </font>
    <font>
      <sz val="10"/>
      <name val="Arial"/>
      <family val="2"/>
    </font>
    <font>
      <b/>
      <sz val="10"/>
      <color rgb="FF9C0006"/>
      <name val="Arial"/>
      <family val="2"/>
    </font>
    <font>
      <sz val="10"/>
      <color rgb="FF9C5700"/>
      <name val="Arial"/>
      <family val="2"/>
    </font>
    <font>
      <sz val="10"/>
      <color rgb="FF9C0006"/>
      <name val="Arial"/>
      <family val="2"/>
    </font>
    <font>
      <b/>
      <sz val="14"/>
      <color rgb="FFFFFFFF"/>
      <name val="Arial"/>
      <family val="2"/>
    </font>
    <font>
      <i/>
      <sz val="9"/>
      <color rgb="FFBBDEFB"/>
      <name val="Arial"/>
      <family val="2"/>
    </font>
    <font>
      <b/>
      <sz val="8"/>
      <color rgb="FFECEFF1"/>
      <name val="Arial"/>
      <family val="2"/>
    </font>
    <font>
      <b/>
      <sz val="13"/>
      <color rgb="FF1565C0"/>
      <name val="Arial"/>
      <family val="2"/>
    </font>
    <font>
      <b/>
      <sz val="13"/>
      <color rgb="FF1B5E20"/>
      <name val="Arial"/>
      <family val="2"/>
    </font>
    <font>
      <b/>
      <sz val="13"/>
      <color rgb="FFE65100"/>
      <name val="Arial"/>
      <family val="2"/>
    </font>
    <font>
      <b/>
      <sz val="13"/>
      <color rgb="FFB71C1C"/>
      <name val="Arial"/>
      <family val="2"/>
    </font>
    <font>
      <b/>
      <sz val="13"/>
      <color rgb="FF4A148C"/>
      <name val="Arial"/>
      <family val="2"/>
    </font>
    <font>
      <b/>
      <sz val="9"/>
      <color rgb="FF1B5E20"/>
      <name val="Arial"/>
      <family val="2"/>
    </font>
    <font>
      <i/>
      <sz val="8"/>
      <color rgb="FF546E7A"/>
      <name val="Arial"/>
      <family val="2"/>
    </font>
    <font>
      <b/>
      <sz val="9"/>
      <color rgb="FFE65100"/>
      <name val="Arial"/>
      <family val="2"/>
    </font>
    <font>
      <b/>
      <sz val="9"/>
      <color rgb="FFB71C1C"/>
      <name val="Arial"/>
      <family val="2"/>
    </font>
    <font>
      <sz val="10"/>
      <color rgb="FFB71C1C"/>
      <name val="Arial"/>
      <family val="2"/>
    </font>
    <font>
      <b/>
      <sz val="10"/>
      <color rgb="FFB71C1C"/>
      <name val="Arial"/>
      <family val="2"/>
    </font>
    <font>
      <sz val="10"/>
      <color rgb="FFBF360C"/>
      <name val="Arial"/>
      <family val="2"/>
    </font>
    <font>
      <b/>
      <sz val="10"/>
      <color rgb="FFE65100"/>
      <name val="Arial"/>
      <family val="2"/>
    </font>
    <font>
      <b/>
      <sz val="10"/>
      <color rgb="FF000000"/>
      <name val="Arial"/>
      <family val="2"/>
    </font>
    <font>
      <sz val="10"/>
      <color rgb="FF000000"/>
      <name val="Arial"/>
      <family val="2"/>
    </font>
    <font>
      <b/>
      <sz val="10"/>
      <color rgb="FF006064"/>
      <name val="Arial"/>
      <family val="2"/>
    </font>
    <font>
      <b/>
      <sz val="12"/>
      <color rgb="FF0D47A1"/>
      <name val="Arial"/>
      <family val="2"/>
    </font>
    <font>
      <b/>
      <sz val="12"/>
      <color rgb="FF1B5E20"/>
      <name val="Arial"/>
      <family val="2"/>
    </font>
    <font>
      <b/>
      <sz val="12"/>
      <color rgb="FF4A148C"/>
      <name val="Arial"/>
      <family val="2"/>
    </font>
    <font>
      <b/>
      <sz val="12"/>
      <color rgb="FFE65100"/>
      <name val="Arial"/>
      <family val="2"/>
    </font>
    <font>
      <b/>
      <sz val="12"/>
      <color rgb="FF880E4F"/>
      <name val="Arial"/>
      <family val="2"/>
    </font>
    <font>
      <b/>
      <sz val="12"/>
      <color rgb="FF6A1B9A"/>
      <name val="Arial"/>
      <family val="2"/>
    </font>
    <font>
      <b/>
      <sz val="12"/>
      <color rgb="FFF57F17"/>
      <name val="Arial"/>
      <family val="2"/>
    </font>
    <font>
      <b/>
      <sz val="12"/>
      <color rgb="FF00695C"/>
      <name val="Arial"/>
      <family val="2"/>
    </font>
    <font>
      <sz val="10"/>
      <color rgb="FFE65100"/>
      <name val="Arial"/>
      <family val="2"/>
    </font>
    <font>
      <b/>
      <sz val="10"/>
      <color rgb="FF4A148C"/>
      <name val="Arial"/>
      <family val="2"/>
    </font>
    <font>
      <sz val="10"/>
      <color rgb="FF4A148C"/>
      <name val="Arial"/>
      <family val="2"/>
    </font>
    <font>
      <b/>
      <sz val="10"/>
      <color rgb="FF0D47A1"/>
      <name val="Arial"/>
      <family val="2"/>
    </font>
    <font>
      <sz val="10"/>
      <color rgb="FF0D47A1"/>
      <name val="Arial"/>
      <family val="2"/>
    </font>
    <font>
      <b/>
      <sz val="10"/>
      <color rgb="FF1B5E20"/>
      <name val="Arial"/>
      <family val="2"/>
    </font>
    <font>
      <sz val="10"/>
      <color rgb="FF1B5E20"/>
      <name val="Arial"/>
      <family val="2"/>
    </font>
    <font>
      <b/>
      <sz val="10"/>
      <color rgb="FF880E4F"/>
      <name val="Arial"/>
      <family val="2"/>
    </font>
    <font>
      <sz val="10"/>
      <color rgb="FF880E4F"/>
      <name val="Arial"/>
      <family val="2"/>
    </font>
    <font>
      <b/>
      <sz val="9"/>
      <color rgb="FF4A148C"/>
      <name val="Arial"/>
      <family val="2"/>
    </font>
    <font>
      <b/>
      <sz val="9"/>
      <color rgb="FF0D47A1"/>
      <name val="Arial"/>
      <family val="2"/>
    </font>
    <font>
      <b/>
      <sz val="9"/>
      <color rgb="FF880E4F"/>
      <name val="Arial"/>
      <family val="2"/>
    </font>
    <font>
      <b/>
      <sz val="9"/>
      <name val="Arial"/>
      <family val="2"/>
    </font>
    <font>
      <sz val="8"/>
      <color rgb="FFFFFFFF"/>
      <name val="Arial"/>
      <family val="2"/>
    </font>
    <font>
      <sz val="8"/>
      <color rgb="FF424242"/>
      <name val="Arial"/>
      <family val="2"/>
    </font>
    <font>
      <i/>
      <sz val="9"/>
      <color rgb="FFC5CAE9"/>
      <name val="Arial"/>
      <family val="2"/>
    </font>
    <font>
      <b/>
      <sz val="12"/>
      <color rgb="FF1A237E"/>
      <name val="Arial"/>
      <family val="2"/>
    </font>
    <font>
      <b/>
      <sz val="12"/>
      <color rgb="FF004D40"/>
      <name val="Arial"/>
      <family val="2"/>
    </font>
    <font>
      <b/>
      <sz val="12"/>
      <color rgb="FFBF360C"/>
      <name val="Arial"/>
      <family val="2"/>
    </font>
    <font>
      <b/>
      <sz val="12"/>
      <color rgb="FF33691E"/>
      <name val="Arial"/>
      <family val="2"/>
    </font>
    <font>
      <b/>
      <sz val="10"/>
      <color rgb="FF1A237E"/>
      <name val="Arial"/>
      <family val="2"/>
    </font>
    <font>
      <sz val="10"/>
      <color rgb="FF1A237E"/>
      <name val="Arial"/>
      <family val="2"/>
    </font>
    <font>
      <b/>
      <sz val="10"/>
      <color rgb="FFBF360C"/>
      <name val="Arial"/>
      <family val="2"/>
    </font>
    <font>
      <b/>
      <sz val="10"/>
      <color rgb="FF004D40"/>
      <name val="Arial"/>
      <family val="2"/>
    </font>
    <font>
      <sz val="10"/>
      <color rgb="FF004D40"/>
      <name val="Arial"/>
      <family val="2"/>
    </font>
    <font>
      <sz val="9"/>
      <color rgb="FFFFFFFF"/>
      <name val="Arial"/>
      <family val="2"/>
    </font>
    <font>
      <sz val="9"/>
      <color rgb="FF000000"/>
      <name val="Arial"/>
      <family val="2"/>
    </font>
    <font>
      <sz val="10"/>
      <name val="Arial"/>
      <family val="2"/>
    </font>
    <font>
      <b/>
      <sz val="11"/>
      <color rgb="FF276221"/>
      <name val="Arial"/>
      <family val="2"/>
    </font>
    <font>
      <b/>
      <sz val="11"/>
      <color rgb="FFCC0000"/>
      <name val="Arial"/>
      <family val="2"/>
    </font>
    <font>
      <b/>
      <sz val="16"/>
      <color rgb="FFFFFFFF"/>
      <name val="Arial"/>
      <family val="2"/>
    </font>
    <font>
      <i/>
      <sz val="10"/>
      <color rgb="FFFFFFFF"/>
      <name val="Arial"/>
      <family val="2"/>
    </font>
    <font>
      <sz val="10"/>
      <color rgb="FF000000"/>
      <name val="Arial"/>
      <family val="2"/>
    </font>
    <font>
      <b/>
      <sz val="10"/>
      <color rgb="FFC00000"/>
      <name val="Arial"/>
      <family val="2"/>
    </font>
    <font>
      <b/>
      <sz val="12"/>
      <color rgb="FFFFFFFF"/>
      <name val="Arial"/>
      <family val="2"/>
    </font>
    <font>
      <b/>
      <sz val="12"/>
      <color rgb="FF7F3F00"/>
      <name val="Arial"/>
      <family val="2"/>
    </font>
    <font>
      <sz val="10"/>
      <color rgb="FFFFFFFF"/>
      <name val="Arial"/>
      <family val="2"/>
    </font>
    <font>
      <b/>
      <sz val="10"/>
      <color rgb="FF2E75B6"/>
      <name val="Arial"/>
      <family val="2"/>
    </font>
    <font>
      <b/>
      <sz val="9"/>
      <color rgb="FF1F4E79"/>
      <name val="Arial"/>
      <family val="2"/>
    </font>
    <font>
      <b/>
      <sz val="10"/>
      <color rgb="FF276221"/>
      <name val="Arial"/>
      <family val="2"/>
    </font>
    <font>
      <b/>
      <sz val="10"/>
      <color rgb="FF595959"/>
      <name val="Arial"/>
      <family val="2"/>
    </font>
    <font>
      <b/>
      <sz val="10"/>
      <color rgb="FF7030A0"/>
      <name val="Arial"/>
      <family val="2"/>
    </font>
    <font>
      <b/>
      <sz val="10"/>
      <color rgb="FFE26B0A"/>
      <name val="Arial"/>
      <family val="2"/>
    </font>
    <font>
      <b/>
      <sz val="10"/>
      <color rgb="FFE67E22"/>
      <name val="Arial"/>
      <family val="2"/>
    </font>
    <font>
      <sz val="10"/>
      <color rgb="FF1F4E79"/>
      <name val="Arial"/>
      <family val="2"/>
    </font>
    <font>
      <b/>
      <sz val="9"/>
      <color rgb="FFC00000"/>
      <name val="Courier New"/>
      <family val="3"/>
    </font>
    <font>
      <b/>
      <sz val="10"/>
      <color rgb="FFC0392B"/>
      <name val="Arial"/>
      <family val="2"/>
    </font>
    <font>
      <b/>
      <sz val="10"/>
      <color rgb="FF7D3C98"/>
      <name val="Arial"/>
      <family val="2"/>
    </font>
    <font>
      <b/>
      <sz val="10"/>
      <color rgb="FF1E8449"/>
      <name val="Arial"/>
      <family val="2"/>
    </font>
    <font>
      <b/>
      <sz val="9"/>
      <color rgb="FF1E8449"/>
      <name val="Courier New"/>
      <family val="3"/>
    </font>
    <font>
      <b/>
      <sz val="10"/>
      <color rgb="FF2471A3"/>
      <name val="Arial"/>
      <family val="2"/>
    </font>
    <font>
      <b/>
      <sz val="10"/>
      <color rgb="FFB7950B"/>
      <name val="Arial"/>
      <family val="2"/>
    </font>
    <font>
      <b/>
      <sz val="10"/>
      <color rgb="FF117A65"/>
      <name val="Arial"/>
      <family val="2"/>
    </font>
    <font>
      <i/>
      <sz val="10"/>
      <color rgb="FF5D6D7E"/>
      <name val="Arial"/>
      <family val="2"/>
    </font>
    <font>
      <b/>
      <sz val="17"/>
      <color rgb="FFFFFFFF"/>
      <name val="Arial"/>
      <family val="2"/>
    </font>
    <font>
      <sz val="8"/>
      <color rgb="FFC00000"/>
      <name val="Courier New"/>
      <family val="3"/>
    </font>
    <font>
      <b/>
      <sz val="9"/>
      <color rgb="FFC00000"/>
      <name val="Arial"/>
      <family val="2"/>
    </font>
    <font>
      <i/>
      <sz val="9"/>
      <color rgb="FF1F4E79"/>
      <name val="Arial"/>
      <family val="2"/>
    </font>
    <font>
      <b/>
      <sz val="9"/>
      <color rgb="FFE67E22"/>
      <name val="Arial"/>
      <family val="2"/>
    </font>
    <font>
      <sz val="8"/>
      <color rgb="FF1E8449"/>
      <name val="Courier New"/>
      <family val="3"/>
    </font>
    <font>
      <b/>
      <sz val="9"/>
      <color rgb="FF2E86C1"/>
      <name val="Arial"/>
      <family val="2"/>
    </font>
    <font>
      <b/>
      <sz val="9"/>
      <color rgb="FF27AE60"/>
      <name val="Arial"/>
      <family val="2"/>
    </font>
    <font>
      <b/>
      <sz val="9"/>
      <color rgb="FF1E8449"/>
      <name val="Arial"/>
      <family val="2"/>
    </font>
    <font>
      <b/>
      <sz val="9"/>
      <color rgb="FF1A5276"/>
      <name val="Arial"/>
      <family val="2"/>
    </font>
    <font>
      <b/>
      <sz val="10"/>
      <color rgb="FF1A5276"/>
      <name val="Arial"/>
      <family val="2"/>
    </font>
    <font>
      <sz val="8"/>
      <color rgb="FF2E86C1"/>
      <name val="Courier New"/>
      <family val="3"/>
    </font>
    <font>
      <b/>
      <sz val="9"/>
      <color rgb="FF6C3483"/>
      <name val="Arial"/>
      <family val="2"/>
    </font>
    <font>
      <b/>
      <sz val="10"/>
      <color rgb="FF6C3483"/>
      <name val="Arial"/>
      <family val="2"/>
    </font>
    <font>
      <sz val="8"/>
      <color rgb="FF9B59B6"/>
      <name val="Courier New"/>
      <family val="3"/>
    </font>
    <font>
      <b/>
      <sz val="9"/>
      <color rgb="FF117A65"/>
      <name val="Arial"/>
      <family val="2"/>
    </font>
    <font>
      <sz val="8"/>
      <color rgb="FF1ABC9C"/>
      <name val="Courier New"/>
      <family val="3"/>
    </font>
    <font>
      <b/>
      <sz val="9"/>
      <color rgb="FF7E5109"/>
      <name val="Arial"/>
      <family val="2"/>
    </font>
    <font>
      <b/>
      <sz val="10"/>
      <color rgb="FF7E5109"/>
      <name val="Arial"/>
      <family val="2"/>
    </font>
    <font>
      <sz val="8"/>
      <color rgb="FFF39C12"/>
      <name val="Courier New"/>
      <family val="3"/>
    </font>
    <font>
      <b/>
      <sz val="9"/>
      <color rgb="FFC0392B"/>
      <name val="Arial"/>
      <family val="2"/>
    </font>
    <font>
      <sz val="8"/>
      <color rgb="FFE74C3C"/>
      <name val="Courier New"/>
      <family val="3"/>
    </font>
    <font>
      <b/>
      <sz val="9"/>
      <color rgb="FF784212"/>
      <name val="Arial"/>
      <family val="2"/>
    </font>
    <font>
      <b/>
      <sz val="10"/>
      <color rgb="FF784212"/>
      <name val="Arial"/>
      <family val="2"/>
    </font>
    <font>
      <sz val="8"/>
      <color rgb="FFE67E22"/>
      <name val="Courier New"/>
      <family val="3"/>
    </font>
    <font>
      <b/>
      <sz val="18"/>
      <color rgb="FFFFFFFF"/>
      <name val="Arial"/>
      <family val="2"/>
    </font>
    <font>
      <sz val="10"/>
      <color rgb="FF1F6AA5"/>
      <name val="Arial"/>
      <family val="2"/>
    </font>
    <font>
      <sz val="10"/>
      <color rgb="FFC0392B"/>
      <name val="Arial"/>
      <family val="2"/>
    </font>
    <font>
      <sz val="10"/>
      <color rgb="FFE67E22"/>
      <name val="Arial"/>
      <family val="2"/>
    </font>
    <font>
      <sz val="10"/>
      <color rgb="FF1A5276"/>
      <name val="Arial"/>
      <family val="2"/>
    </font>
    <font>
      <sz val="10"/>
      <color rgb="FF27AE60"/>
      <name val="Arial"/>
      <family val="2"/>
    </font>
    <font>
      <sz val="10"/>
      <color rgb="FF117A65"/>
      <name val="Arial"/>
      <family val="2"/>
    </font>
    <font>
      <sz val="10"/>
      <color rgb="FF8E44AD"/>
      <name val="Arial"/>
      <family val="2"/>
    </font>
    <font>
      <sz val="10"/>
      <color rgb="FF7D3C98"/>
      <name val="Arial"/>
      <family val="2"/>
    </font>
    <font>
      <b/>
      <sz val="10"/>
      <color rgb="FF1F6AA5"/>
      <name val="Arial"/>
      <family val="2"/>
    </font>
    <font>
      <b/>
      <sz val="10"/>
      <color rgb="FF27AE60"/>
      <name val="Arial"/>
      <family val="2"/>
    </font>
    <font>
      <b/>
      <sz val="10"/>
      <color rgb="FF8E44AD"/>
      <name val="Arial"/>
      <family val="2"/>
    </font>
    <font>
      <b/>
      <sz val="13"/>
      <color rgb="FFFFFFFF"/>
      <name val="Arial"/>
      <family val="2"/>
    </font>
    <font>
      <b/>
      <sz val="11"/>
      <color rgb="FFFFFFFF"/>
      <name val="Arial"/>
      <family val="2"/>
    </font>
    <font>
      <b/>
      <sz val="10"/>
      <name val="Arial"/>
      <family val="2"/>
    </font>
    <font>
      <sz val="10"/>
      <name val="Arial"/>
      <family val="2"/>
    </font>
    <font>
      <i/>
      <sz val="9"/>
      <color rgb="FF666666"/>
      <name val="Arial"/>
      <family val="2"/>
    </font>
    <font>
      <b/>
      <sz val="14"/>
      <color rgb="FFFFFFFF"/>
      <name val="Arial"/>
      <family val="2"/>
    </font>
    <font>
      <b/>
      <sz val="10"/>
      <color rgb="FFFFFFFF"/>
      <name val="Arial"/>
      <family val="2"/>
    </font>
    <font>
      <b/>
      <sz val="10"/>
      <color rgb="FF375623"/>
      <name val="Arial"/>
      <family val="2"/>
    </font>
    <font>
      <sz val="10"/>
      <color rgb="FF375623"/>
      <name val="Arial"/>
      <family val="2"/>
    </font>
    <font>
      <sz val="10"/>
      <color rgb="FF000000"/>
      <name val="Arial"/>
      <family val="2"/>
    </font>
    <font>
      <sz val="10"/>
      <color rgb="FF833C00"/>
      <name val="Arial"/>
      <family val="2"/>
    </font>
    <font>
      <b/>
      <sz val="10"/>
      <color rgb="FF000000"/>
      <name val="Arial"/>
      <family val="2"/>
    </font>
    <font>
      <sz val="9"/>
      <color rgb="FF808080"/>
      <name val="Arial"/>
      <family val="2"/>
    </font>
    <font>
      <b/>
      <sz val="11"/>
      <color rgb="FFFFFF00"/>
      <name val="Calibri"/>
      <family val="2"/>
      <scheme val="minor"/>
    </font>
    <font>
      <sz val="12"/>
      <color theme="1"/>
      <name val="Aptos"/>
      <family val="2"/>
    </font>
    <font>
      <b/>
      <sz val="12"/>
      <color theme="1"/>
      <name val="Aptos"/>
      <family val="2"/>
    </font>
    <font>
      <b/>
      <sz val="12"/>
      <color rgb="FFFFFF00"/>
      <name val="Aptos"/>
      <family val="2"/>
    </font>
    <font>
      <b/>
      <sz val="12"/>
      <color rgb="FFFFFF00"/>
      <name val="Segoe UI Emoji"/>
      <family val="2"/>
    </font>
    <font>
      <sz val="11"/>
      <color rgb="FFFFFF00"/>
      <name val="Calibri"/>
      <family val="2"/>
      <scheme val="minor"/>
    </font>
    <font>
      <b/>
      <i/>
      <sz val="12"/>
      <color rgb="FFFFFF00"/>
      <name val="Aptos"/>
      <family val="2"/>
    </font>
    <font>
      <i/>
      <sz val="10"/>
      <color rgb="FF555555"/>
      <name val="Arial"/>
      <family val="2"/>
    </font>
    <font>
      <sz val="11"/>
      <color rgb="FF000000"/>
      <name val="Arial"/>
      <family val="2"/>
    </font>
    <font>
      <b/>
      <u/>
      <sz val="11"/>
      <color rgb="FF1F3864"/>
      <name val="Arial"/>
      <family val="2"/>
    </font>
    <font>
      <b/>
      <u/>
      <sz val="11"/>
      <color rgb="FFFFFFFF"/>
      <name val="Arial"/>
      <family val="2"/>
    </font>
    <font>
      <i/>
      <sz val="9"/>
      <color rgb="FF888888"/>
      <name val="Arial"/>
      <family val="2"/>
    </font>
    <font>
      <sz val="10"/>
      <color rgb="FF1F3864"/>
      <name val="Arial"/>
      <family val="2"/>
    </font>
    <font>
      <sz val="11"/>
      <name val="Calibri"/>
      <family val="2"/>
    </font>
    <font>
      <sz val="10"/>
      <color rgb="FF1F1F1F"/>
      <name val="Arial"/>
      <family val="2"/>
    </font>
    <font>
      <b/>
      <sz val="9"/>
      <color rgb="FF9C0006"/>
      <name val="Arial"/>
      <family val="2"/>
    </font>
    <font>
      <b/>
      <sz val="10"/>
      <color rgb="FF1F5C2E"/>
      <name val="Arial"/>
      <family val="2"/>
    </font>
    <font>
      <b/>
      <sz val="18"/>
      <color rgb="FF1F3864"/>
      <name val="Arial"/>
      <family val="2"/>
    </font>
    <font>
      <b/>
      <sz val="9"/>
      <color rgb="FF1F3864"/>
      <name val="Arial"/>
      <family val="2"/>
    </font>
    <font>
      <b/>
      <sz val="9"/>
      <color rgb="FF7F6000"/>
      <name val="Arial"/>
      <family val="2"/>
    </font>
    <font>
      <b/>
      <sz val="9"/>
      <color rgb="FF4527A0"/>
      <name val="Arial"/>
      <family val="2"/>
    </font>
    <font>
      <b/>
      <sz val="16"/>
      <color rgb="FF1F3864"/>
      <name val="Arial"/>
      <family val="2"/>
    </font>
    <font>
      <b/>
      <sz val="16"/>
      <color rgb="FFC00000"/>
      <name val="Arial"/>
      <family val="2"/>
    </font>
    <font>
      <b/>
      <sz val="16"/>
      <color rgb="FF375623"/>
      <name val="Arial"/>
      <family val="2"/>
    </font>
    <font>
      <b/>
      <sz val="16"/>
      <color rgb="FF7F6000"/>
      <name val="Arial"/>
      <family val="2"/>
    </font>
    <font>
      <b/>
      <sz val="16"/>
      <color rgb="FF4527A0"/>
      <name val="Arial"/>
      <family val="2"/>
    </font>
    <font>
      <b/>
      <sz val="10"/>
      <color rgb="FF4527A0"/>
      <name val="Arial"/>
      <family val="2"/>
    </font>
    <font>
      <b/>
      <sz val="10"/>
      <color rgb="FF7F6000"/>
      <name val="Arial"/>
      <family val="2"/>
    </font>
    <font>
      <b/>
      <sz val="11"/>
      <color rgb="FF375623"/>
      <name val="Arial"/>
      <family val="2"/>
    </font>
    <font>
      <b/>
      <sz val="11"/>
      <color rgb="FFC00000"/>
      <name val="Arial"/>
      <family val="2"/>
    </font>
    <font>
      <sz val="10"/>
      <color rgb="FF4527A0"/>
      <name val="Arial"/>
      <family val="2"/>
    </font>
    <font>
      <b/>
      <sz val="11"/>
      <color rgb="FF4527A0"/>
      <name val="Arial"/>
      <family val="2"/>
    </font>
    <font>
      <b/>
      <sz val="9"/>
      <color rgb="FF2E75B6"/>
      <name val="Arial"/>
      <family val="2"/>
    </font>
    <font>
      <sz val="10"/>
      <color rgb="FF2E75B6"/>
      <name val="Arial"/>
      <family val="2"/>
    </font>
    <font>
      <b/>
      <sz val="11"/>
      <color rgb="FF2E75B6"/>
      <name val="Arial"/>
      <family val="2"/>
    </font>
    <font>
      <sz val="10"/>
      <color rgb="FF7F6000"/>
      <name val="Arial"/>
      <family val="2"/>
    </font>
    <font>
      <b/>
      <sz val="11"/>
      <color rgb="FF7F6000"/>
      <name val="Arial"/>
      <family val="2"/>
    </font>
  </fonts>
  <fills count="181">
    <fill>
      <patternFill patternType="none"/>
    </fill>
    <fill>
      <patternFill patternType="gray125"/>
    </fill>
    <fill>
      <patternFill patternType="solid">
        <fgColor rgb="FFE2EFDA"/>
        <bgColor rgb="FFE2EFDA"/>
      </patternFill>
    </fill>
    <fill>
      <patternFill patternType="solid">
        <fgColor rgb="FFFFF2CC"/>
        <bgColor rgb="FFFFF2CC"/>
      </patternFill>
    </fill>
    <fill>
      <patternFill patternType="solid">
        <fgColor rgb="FFFFF9E6"/>
        <bgColor rgb="FFFFF9E6"/>
      </patternFill>
    </fill>
    <fill>
      <patternFill patternType="solid">
        <fgColor rgb="FF1F4E79"/>
        <bgColor rgb="FF1F4E79"/>
      </patternFill>
    </fill>
    <fill>
      <patternFill patternType="solid">
        <fgColor rgb="FFBDD7EE"/>
        <bgColor rgb="FFBDD7EE"/>
      </patternFill>
    </fill>
    <fill>
      <patternFill patternType="solid">
        <fgColor rgb="FF2E75B6"/>
        <bgColor rgb="FF2E75B6"/>
      </patternFill>
    </fill>
    <fill>
      <patternFill patternType="solid">
        <fgColor rgb="FFED7D31"/>
        <bgColor rgb="FFED7D31"/>
      </patternFill>
    </fill>
    <fill>
      <patternFill patternType="solid">
        <fgColor rgb="FFFCE4D6"/>
        <bgColor rgb="FFFCE4D6"/>
      </patternFill>
    </fill>
    <fill>
      <patternFill patternType="solid">
        <fgColor rgb="FFFDEBD0"/>
        <bgColor rgb="FFFDEBD0"/>
      </patternFill>
    </fill>
    <fill>
      <patternFill patternType="solid">
        <fgColor rgb="FFEEF8E8"/>
        <bgColor rgb="FFEEF8E8"/>
      </patternFill>
    </fill>
    <fill>
      <patternFill patternType="solid">
        <fgColor rgb="FF70AD47"/>
        <bgColor rgb="FF70AD47"/>
      </patternFill>
    </fill>
    <fill>
      <patternFill patternType="solid">
        <fgColor rgb="FFC8E6C9"/>
        <bgColor rgb="FFC8E6C9"/>
      </patternFill>
    </fill>
    <fill>
      <patternFill patternType="solid">
        <fgColor rgb="FFD5F5E3"/>
        <bgColor rgb="FFD5F5E3"/>
      </patternFill>
    </fill>
    <fill>
      <patternFill patternType="solid">
        <fgColor rgb="FFF2F2F2"/>
        <bgColor rgb="FFF2F2F2"/>
      </patternFill>
    </fill>
    <fill>
      <patternFill patternType="solid">
        <fgColor rgb="FFF5F5F5"/>
        <bgColor rgb="FFF5F5F5"/>
      </patternFill>
    </fill>
    <fill>
      <patternFill patternType="solid">
        <fgColor rgb="FFF4B942"/>
        <bgColor rgb="FFF4B942"/>
      </patternFill>
    </fill>
    <fill>
      <patternFill patternType="solid">
        <fgColor rgb="FFEAEAEA"/>
        <bgColor rgb="FFEAEAEA"/>
      </patternFill>
    </fill>
    <fill>
      <patternFill patternType="solid">
        <fgColor rgb="FFFFF8EE"/>
        <bgColor rgb="FFFFF8EE"/>
      </patternFill>
    </fill>
    <fill>
      <patternFill patternType="solid">
        <fgColor rgb="FFA9D18E"/>
        <bgColor rgb="FFA9D18E"/>
      </patternFill>
    </fill>
    <fill>
      <patternFill patternType="solid">
        <fgColor rgb="FFF0FAF4"/>
        <bgColor rgb="FFF0FAF4"/>
      </patternFill>
    </fill>
    <fill>
      <patternFill patternType="solid">
        <fgColor rgb="FF7030A0"/>
        <bgColor rgb="FF7030A0"/>
      </patternFill>
    </fill>
    <fill>
      <patternFill patternType="solid">
        <fgColor rgb="FFE8F5E9"/>
        <bgColor rgb="FFE8F5E9"/>
      </patternFill>
    </fill>
    <fill>
      <patternFill patternType="solid">
        <fgColor rgb="FFFFF3E0"/>
        <bgColor rgb="FFFFF3E0"/>
      </patternFill>
    </fill>
    <fill>
      <patternFill patternType="solid">
        <fgColor rgb="FFF9F9F9"/>
        <bgColor rgb="FFF9F9F9"/>
      </patternFill>
    </fill>
    <fill>
      <patternFill patternType="solid">
        <fgColor rgb="FFFFFFFF"/>
        <bgColor rgb="FFFFFFFF"/>
      </patternFill>
    </fill>
    <fill>
      <patternFill patternType="solid">
        <fgColor rgb="FFE3F2FD"/>
        <bgColor rgb="FFE3F2FD"/>
      </patternFill>
    </fill>
    <fill>
      <patternFill patternType="solid">
        <fgColor rgb="FFF3E5F5"/>
        <bgColor rgb="FFF3E5F5"/>
      </patternFill>
    </fill>
    <fill>
      <patternFill patternType="solid">
        <fgColor rgb="FFC6EFCE"/>
        <bgColor rgb="FFC6EFCE"/>
      </patternFill>
    </fill>
    <fill>
      <patternFill patternType="solid">
        <fgColor rgb="FFFCE4EC"/>
        <bgColor rgb="FFFCE4EC"/>
      </patternFill>
    </fill>
    <fill>
      <patternFill patternType="solid">
        <fgColor rgb="FFE0F7FA"/>
        <bgColor rgb="FFE0F7FA"/>
      </patternFill>
    </fill>
    <fill>
      <patternFill patternType="solid">
        <fgColor rgb="FF344E6E"/>
        <bgColor rgb="FF344E6E"/>
      </patternFill>
    </fill>
    <fill>
      <patternFill patternType="solid">
        <fgColor theme="5" tint="0.79998168889431442"/>
        <bgColor rgb="FF1B5E20"/>
      </patternFill>
    </fill>
    <fill>
      <patternFill patternType="solid">
        <fgColor rgb="FF4A148C"/>
        <bgColor rgb="FF4A148C"/>
      </patternFill>
    </fill>
    <fill>
      <patternFill patternType="solid">
        <fgColor rgb="FF006064"/>
        <bgColor rgb="FF006064"/>
      </patternFill>
    </fill>
    <fill>
      <patternFill patternType="solid">
        <fgColor rgb="FF880E4F"/>
        <bgColor rgb="FF880E4F"/>
      </patternFill>
    </fill>
    <fill>
      <patternFill patternType="solid">
        <fgColor rgb="FFBF360C"/>
        <bgColor rgb="FFBF360C"/>
      </patternFill>
    </fill>
    <fill>
      <patternFill patternType="solid">
        <fgColor rgb="FF0D47A1"/>
        <bgColor rgb="FF0D47A1"/>
      </patternFill>
    </fill>
    <fill>
      <patternFill patternType="solid">
        <fgColor rgb="FF1B5E20"/>
        <bgColor rgb="FF1B5E20"/>
      </patternFill>
    </fill>
    <fill>
      <patternFill patternType="solid">
        <fgColor rgb="FF1F4E79"/>
        <bgColor rgb="FF003366"/>
      </patternFill>
    </fill>
    <fill>
      <patternFill patternType="solid">
        <fgColor rgb="FFF2F2F2"/>
        <bgColor rgb="FFFFFFFF"/>
      </patternFill>
    </fill>
    <fill>
      <patternFill patternType="solid">
        <fgColor rgb="FF2E75B6"/>
        <bgColor rgb="FF0066CC"/>
      </patternFill>
    </fill>
    <fill>
      <patternFill patternType="solid">
        <fgColor rgb="FFC6EFCE"/>
        <bgColor rgb="FFCCFFFF"/>
      </patternFill>
    </fill>
    <fill>
      <patternFill patternType="solid">
        <fgColor rgb="FFFFEB9C"/>
        <bgColor rgb="FFF2F2F2"/>
      </patternFill>
    </fill>
    <fill>
      <patternFill patternType="solid">
        <fgColor rgb="FFFFC7CE"/>
        <bgColor rgb="FFFFEB9C"/>
      </patternFill>
    </fill>
    <fill>
      <patternFill patternType="solid">
        <fgColor rgb="FF0D47A1"/>
        <bgColor rgb="FF1F4E79"/>
      </patternFill>
    </fill>
    <fill>
      <patternFill patternType="solid">
        <fgColor rgb="FF1565C0"/>
        <bgColor rgb="FF0D47A1"/>
      </patternFill>
    </fill>
    <fill>
      <patternFill patternType="solid">
        <fgColor rgb="FFD5E8F5"/>
        <bgColor rgb="FFE3F2FD"/>
      </patternFill>
    </fill>
    <fill>
      <patternFill patternType="solid">
        <fgColor rgb="FF006064"/>
        <bgColor rgb="FF1F4E79"/>
      </patternFill>
    </fill>
    <fill>
      <patternFill patternType="solid">
        <fgColor rgb="FF37474F"/>
        <bgColor rgb="FF1F4E79"/>
      </patternFill>
    </fill>
    <fill>
      <patternFill patternType="solid">
        <fgColor rgb="FFE3F2FD"/>
        <bgColor rgb="FFEEF2F7"/>
      </patternFill>
    </fill>
    <fill>
      <patternFill patternType="solid">
        <fgColor rgb="FFC6EFCE"/>
        <bgColor rgb="FFD5E8F5"/>
      </patternFill>
    </fill>
    <fill>
      <patternFill patternType="solid">
        <fgColor rgb="FFFFEB9C"/>
        <bgColor rgb="FFFFF3CD"/>
      </patternFill>
    </fill>
    <fill>
      <patternFill patternType="solid">
        <fgColor rgb="FFFFC7CE"/>
        <bgColor rgb="FFFFCCCC"/>
      </patternFill>
    </fill>
    <fill>
      <patternFill patternType="solid">
        <fgColor rgb="FFEDE7F6"/>
        <bgColor rgb="FFECEFF1"/>
      </patternFill>
    </fill>
    <fill>
      <patternFill patternType="solid">
        <fgColor rgb="FFEEF2F7"/>
        <bgColor rgb="FFECEFF1"/>
      </patternFill>
    </fill>
    <fill>
      <patternFill patternType="solid">
        <fgColor rgb="FFFAFAFA"/>
        <bgColor rgb="FFFFFFFF"/>
      </patternFill>
    </fill>
    <fill>
      <patternFill patternType="solid">
        <fgColor rgb="FFC62828"/>
        <bgColor rgb="FFB71C1C"/>
      </patternFill>
    </fill>
    <fill>
      <patternFill patternType="solid">
        <fgColor rgb="FFB71C1C"/>
        <bgColor rgb="FFC62828"/>
      </patternFill>
    </fill>
    <fill>
      <patternFill patternType="solid">
        <fgColor rgb="FFFFCCCC"/>
        <bgColor rgb="FFFFC7CE"/>
      </patternFill>
    </fill>
    <fill>
      <patternFill patternType="solid">
        <fgColor rgb="FFEF9A9A"/>
        <bgColor rgb="FFFFC7CE"/>
      </patternFill>
    </fill>
    <fill>
      <patternFill patternType="solid">
        <fgColor rgb="FFE65100"/>
        <bgColor rgb="FFBF360C"/>
      </patternFill>
    </fill>
    <fill>
      <patternFill patternType="solid">
        <fgColor rgb="FFFFF3CD"/>
        <bgColor rgb="FFF5F5F5"/>
      </patternFill>
    </fill>
    <fill>
      <patternFill patternType="solid">
        <fgColor rgb="FFFFCC80"/>
        <bgColor rgb="FFFFCCCC"/>
      </patternFill>
    </fill>
    <fill>
      <patternFill patternType="solid">
        <fgColor rgb="FFF5F5F5"/>
        <bgColor rgb="FFEEF2F7"/>
      </patternFill>
    </fill>
    <fill>
      <patternFill patternType="solid">
        <fgColor rgb="FFFFFFFF"/>
        <bgColor rgb="FFFAFAFA"/>
      </patternFill>
    </fill>
    <fill>
      <patternFill patternType="solid">
        <fgColor rgb="FFB2EBF2"/>
        <bgColor rgb="FFBBDEFB"/>
      </patternFill>
    </fill>
    <fill>
      <patternFill patternType="solid">
        <fgColor rgb="FF2E7D32"/>
        <bgColor rgb="FF1B5E20"/>
      </patternFill>
    </fill>
    <fill>
      <patternFill patternType="solid">
        <fgColor rgb="FF1B5E20"/>
        <bgColor rgb="FF2E7D32"/>
      </patternFill>
    </fill>
    <fill>
      <patternFill patternType="solid">
        <fgColor rgb="FF006064"/>
        <bgColor rgb="FF00695C"/>
      </patternFill>
    </fill>
    <fill>
      <patternFill patternType="solid">
        <fgColor rgb="FF37474F"/>
        <bgColor rgb="FF424242"/>
      </patternFill>
    </fill>
    <fill>
      <patternFill patternType="solid">
        <fgColor rgb="FFE3F2FD"/>
        <bgColor rgb="FFE0F7FA"/>
      </patternFill>
    </fill>
    <fill>
      <patternFill patternType="solid">
        <fgColor rgb="FFE8F5E9"/>
        <bgColor rgb="FFECEFF1"/>
      </patternFill>
    </fill>
    <fill>
      <patternFill patternType="solid">
        <fgColor rgb="FFEDE7F6"/>
        <bgColor rgb="FFF3E5F5"/>
      </patternFill>
    </fill>
    <fill>
      <patternFill patternType="solid">
        <fgColor rgb="FFFFF3E0"/>
        <bgColor rgb="FFFFEBEE"/>
      </patternFill>
    </fill>
    <fill>
      <patternFill patternType="solid">
        <fgColor rgb="FFFCE4EC"/>
        <bgColor rgb="FFFFEBEE"/>
      </patternFill>
    </fill>
    <fill>
      <patternFill patternType="solid">
        <fgColor rgb="FFF3E5F5"/>
        <bgColor rgb="FFEDE7F6"/>
      </patternFill>
    </fill>
    <fill>
      <patternFill patternType="solid">
        <fgColor rgb="FFFFF9C4"/>
        <bgColor rgb="FFFFF3E0"/>
      </patternFill>
    </fill>
    <fill>
      <patternFill patternType="solid">
        <fgColor rgb="FFE0F7FA"/>
        <bgColor rgb="FFE3F2FD"/>
      </patternFill>
    </fill>
    <fill>
      <patternFill patternType="solid">
        <fgColor rgb="FF1F4E79"/>
        <bgColor rgb="FF0D47A1"/>
      </patternFill>
    </fill>
    <fill>
      <patternFill patternType="solid">
        <fgColor rgb="FFFF5252"/>
        <bgColor rgb="FFE65100"/>
      </patternFill>
    </fill>
    <fill>
      <patternFill patternType="solid">
        <fgColor rgb="FFFF8A80"/>
        <bgColor rgb="FFF48FB1"/>
      </patternFill>
    </fill>
    <fill>
      <patternFill patternType="solid">
        <fgColor rgb="FFFFEBEE"/>
        <bgColor rgb="FFFCE4EC"/>
      </patternFill>
    </fill>
    <fill>
      <patternFill patternType="solid">
        <fgColor rgb="FFFFCDD2"/>
        <bgColor rgb="FFFCE4EC"/>
      </patternFill>
    </fill>
    <fill>
      <patternFill patternType="solid">
        <fgColor rgb="FFFFFFFF"/>
        <bgColor rgb="FFF9F9F9"/>
      </patternFill>
    </fill>
    <fill>
      <patternFill patternType="solid">
        <fgColor rgb="FF0A1172"/>
        <bgColor rgb="FF1A237E"/>
      </patternFill>
    </fill>
    <fill>
      <patternFill patternType="solid">
        <fgColor rgb="FF1A237E"/>
        <bgColor rgb="FF0A1172"/>
      </patternFill>
    </fill>
    <fill>
      <patternFill patternType="solid">
        <fgColor rgb="FFD5E8F5"/>
        <bgColor rgb="FFE0F2F1"/>
      </patternFill>
    </fill>
    <fill>
      <patternFill patternType="solid">
        <fgColor rgb="FF283593"/>
        <bgColor rgb="FF1A237E"/>
      </patternFill>
    </fill>
    <fill>
      <patternFill patternType="solid">
        <fgColor rgb="FF263238"/>
        <bgColor rgb="FF37474F"/>
      </patternFill>
    </fill>
    <fill>
      <patternFill patternType="solid">
        <fgColor rgb="FFE8EAF6"/>
        <bgColor rgb="FFEDE7F6"/>
      </patternFill>
    </fill>
    <fill>
      <patternFill patternType="solid">
        <fgColor rgb="FFE0F2F1"/>
        <bgColor rgb="FFE3F2FD"/>
      </patternFill>
    </fill>
    <fill>
      <patternFill patternType="solid">
        <fgColor rgb="FFFFF3E0"/>
        <bgColor rgb="FFFFF8E1"/>
      </patternFill>
    </fill>
    <fill>
      <patternFill patternType="solid">
        <fgColor rgb="FFEDE7F6"/>
        <bgColor rgb="FFE8EAF6"/>
      </patternFill>
    </fill>
    <fill>
      <patternFill patternType="solid">
        <fgColor rgb="FFE8F5E9"/>
        <bgColor rgb="FFF1F8E9"/>
      </patternFill>
    </fill>
    <fill>
      <patternFill patternType="solid">
        <fgColor rgb="FFFFF8E1"/>
        <bgColor rgb="FFFFF3E0"/>
      </patternFill>
    </fill>
    <fill>
      <patternFill patternType="solid">
        <fgColor rgb="FFE3F2FD"/>
        <bgColor rgb="FFE0F2F1"/>
      </patternFill>
    </fill>
    <fill>
      <patternFill patternType="solid">
        <fgColor rgb="FFFCE4EC"/>
        <bgColor rgb="FFEDE7F6"/>
      </patternFill>
    </fill>
    <fill>
      <patternFill patternType="solid">
        <fgColor rgb="FFF1F8E9"/>
        <bgColor rgb="FFE8F5E9"/>
      </patternFill>
    </fill>
    <fill>
      <patternFill patternType="solid">
        <fgColor rgb="FFDCE775"/>
        <bgColor rgb="FFFFD54F"/>
      </patternFill>
    </fill>
    <fill>
      <patternFill patternType="solid">
        <fgColor rgb="FFFFCDD2"/>
        <bgColor rgb="FFF8BBD9"/>
      </patternFill>
    </fill>
    <fill>
      <patternFill patternType="solid">
        <fgColor rgb="FFFFD54F"/>
        <bgColor rgb="FFDCE775"/>
      </patternFill>
    </fill>
    <fill>
      <patternFill patternType="solid">
        <fgColor rgb="FFBBDEFB"/>
        <bgColor rgb="FFD5E8F5"/>
      </patternFill>
    </fill>
    <fill>
      <patternFill patternType="solid">
        <fgColor rgb="FFF8BBD9"/>
        <bgColor rgb="FFFFCDD2"/>
      </patternFill>
    </fill>
    <fill>
      <patternFill patternType="solid">
        <fgColor rgb="FF3949AB"/>
        <bgColor rgb="FF283593"/>
      </patternFill>
    </fill>
    <fill>
      <patternFill patternType="solid">
        <fgColor rgb="FFFFE0B2"/>
        <bgColor rgb="FFFFCDD2"/>
      </patternFill>
    </fill>
    <fill>
      <patternFill patternType="solid">
        <fgColor rgb="FFA5D6A7"/>
        <bgColor rgb="FFBFBFBF"/>
      </patternFill>
    </fill>
    <fill>
      <patternFill patternType="solid">
        <fgColor rgb="FFFF8A65"/>
        <bgColor rgb="FFFF5252"/>
      </patternFill>
    </fill>
    <fill>
      <patternFill patternType="solid">
        <fgColor rgb="FF00897B"/>
        <bgColor rgb="FF00695C"/>
      </patternFill>
    </fill>
    <fill>
      <patternFill patternType="solid">
        <fgColor rgb="FF00695C"/>
        <bgColor rgb="FF006064"/>
      </patternFill>
    </fill>
    <fill>
      <patternFill patternType="solid">
        <fgColor rgb="FFD1C4E9"/>
        <bgColor rgb="FFC5CAE9"/>
      </patternFill>
    </fill>
    <fill>
      <patternFill patternType="solid">
        <fgColor rgb="FFFFCCCC"/>
        <bgColor rgb="FFFFCCCC"/>
      </patternFill>
    </fill>
    <fill>
      <patternFill patternType="solid">
        <fgColor rgb="FFFF0000"/>
        <bgColor rgb="FFFF0000"/>
      </patternFill>
    </fill>
    <fill>
      <patternFill patternType="solid">
        <fgColor rgb="FFC00000"/>
        <bgColor rgb="FFC00000"/>
      </patternFill>
    </fill>
    <fill>
      <patternFill patternType="solid">
        <fgColor rgb="FFFFE699"/>
        <bgColor rgb="FFFFE699"/>
      </patternFill>
    </fill>
    <fill>
      <patternFill patternType="solid">
        <fgColor rgb="FFDEEAF1"/>
        <bgColor rgb="FFDEEAF1"/>
      </patternFill>
    </fill>
    <fill>
      <patternFill patternType="solid">
        <fgColor rgb="FFE26B0A"/>
        <bgColor rgb="FFE26B0A"/>
      </patternFill>
    </fill>
    <fill>
      <patternFill patternType="solid">
        <fgColor rgb="FFE7E6E6"/>
        <bgColor rgb="FFE7E6E6"/>
      </patternFill>
    </fill>
    <fill>
      <patternFill patternType="solid">
        <fgColor rgb="FFEAD1DC"/>
        <bgColor rgb="FFEAD1DC"/>
      </patternFill>
    </fill>
    <fill>
      <patternFill patternType="solid">
        <fgColor rgb="FF1E8449"/>
        <bgColor rgb="FF1E8449"/>
      </patternFill>
    </fill>
    <fill>
      <patternFill patternType="solid">
        <fgColor rgb="FFE67E22"/>
        <bgColor rgb="FFE67E22"/>
      </patternFill>
    </fill>
    <fill>
      <patternFill patternType="solid">
        <fgColor rgb="FF2471A3"/>
        <bgColor rgb="FF2471A3"/>
      </patternFill>
    </fill>
    <fill>
      <patternFill patternType="solid">
        <fgColor rgb="FF5D6D7E"/>
        <bgColor rgb="FF5D6D7E"/>
      </patternFill>
    </fill>
    <fill>
      <patternFill patternType="solid">
        <fgColor rgb="FFE8DAEF"/>
        <bgColor rgb="FFE8DAEF"/>
      </patternFill>
    </fill>
    <fill>
      <patternFill patternType="solid">
        <fgColor rgb="FFFAE5D3"/>
        <bgColor rgb="FFFAE5D3"/>
      </patternFill>
    </fill>
    <fill>
      <patternFill patternType="solid">
        <fgColor rgb="FFD6EAF8"/>
        <bgColor rgb="FFD6EAF8"/>
      </patternFill>
    </fill>
    <fill>
      <patternFill patternType="solid">
        <fgColor rgb="FFFADBD8"/>
        <bgColor rgb="FFFADBD8"/>
      </patternFill>
    </fill>
    <fill>
      <patternFill patternType="solid">
        <fgColor rgb="FFFCF3CF"/>
        <bgColor rgb="FFFCF3CF"/>
      </patternFill>
    </fill>
    <fill>
      <patternFill patternType="solid">
        <fgColor rgb="FFD1F2EB"/>
        <bgColor rgb="FFD1F2EB"/>
      </patternFill>
    </fill>
    <fill>
      <patternFill patternType="solid">
        <fgColor rgb="FFFAD7D7"/>
        <bgColor rgb="FFFAD7D7"/>
      </patternFill>
    </fill>
    <fill>
      <patternFill patternType="solid">
        <fgColor rgb="FF784212"/>
        <bgColor rgb="FF784212"/>
      </patternFill>
    </fill>
    <fill>
      <patternFill patternType="solid">
        <fgColor rgb="FFFFF0F0"/>
        <bgColor rgb="FFFFF0F0"/>
      </patternFill>
    </fill>
    <fill>
      <patternFill patternType="solid">
        <fgColor rgb="FFC0392B"/>
        <bgColor rgb="FFC0392B"/>
      </patternFill>
    </fill>
    <fill>
      <patternFill patternType="solid">
        <fgColor rgb="FF6C3483"/>
        <bgColor rgb="FF6C3483"/>
      </patternFill>
    </fill>
    <fill>
      <patternFill patternType="solid">
        <fgColor rgb="FFF0FFF4"/>
        <bgColor rgb="FFF0FFF4"/>
      </patternFill>
    </fill>
    <fill>
      <patternFill patternType="solid">
        <fgColor rgb="FF1A5276"/>
        <bgColor rgb="FF1A5276"/>
      </patternFill>
    </fill>
    <fill>
      <patternFill patternType="solid">
        <fgColor rgb="FF7E5109"/>
        <bgColor rgb="FF7E5109"/>
      </patternFill>
    </fill>
    <fill>
      <patternFill patternType="solid">
        <fgColor rgb="FF117A65"/>
        <bgColor rgb="FF117A65"/>
      </patternFill>
    </fill>
    <fill>
      <patternFill patternType="solid">
        <fgColor rgb="FF0D1B2A"/>
        <bgColor rgb="FF0D1B2A"/>
      </patternFill>
    </fill>
    <fill>
      <patternFill patternType="solid">
        <fgColor rgb="FF1F6AA5"/>
        <bgColor rgb="FF1F6AA5"/>
      </patternFill>
    </fill>
    <fill>
      <patternFill patternType="solid">
        <fgColor rgb="FF7D3C98"/>
        <bgColor rgb="FF7D3C98"/>
      </patternFill>
    </fill>
    <fill>
      <patternFill patternType="solid">
        <fgColor rgb="FF27AE60"/>
        <bgColor rgb="FF27AE60"/>
      </patternFill>
    </fill>
    <fill>
      <patternFill patternType="solid">
        <fgColor rgb="FF8E44AD"/>
        <bgColor rgb="FF8E44AD"/>
      </patternFill>
    </fill>
    <fill>
      <patternFill patternType="solid">
        <fgColor rgb="FF4A235A"/>
        <bgColor rgb="FF4A235A"/>
      </patternFill>
    </fill>
    <fill>
      <patternFill patternType="solid">
        <fgColor rgb="FF145A32"/>
        <bgColor rgb="FF145A32"/>
      </patternFill>
    </fill>
    <fill>
      <patternFill patternType="solid">
        <fgColor rgb="FF1F3864"/>
        <bgColor rgb="FF333333"/>
      </patternFill>
    </fill>
    <fill>
      <patternFill patternType="solid">
        <fgColor rgb="FFD6E4F0"/>
        <bgColor rgb="FFEBF3FB"/>
      </patternFill>
    </fill>
    <fill>
      <patternFill patternType="solid">
        <fgColor rgb="FFEBF3FB"/>
        <bgColor rgb="FFFFFFFF"/>
      </patternFill>
    </fill>
    <fill>
      <patternFill patternType="solid">
        <fgColor rgb="FF1F3864"/>
        <bgColor rgb="FF333399"/>
      </patternFill>
    </fill>
    <fill>
      <patternFill patternType="solid">
        <fgColor rgb="FFC55A11"/>
        <bgColor rgb="FF833C00"/>
      </patternFill>
    </fill>
    <fill>
      <patternFill patternType="solid">
        <fgColor rgb="FF375623"/>
        <bgColor rgb="FF333300"/>
      </patternFill>
    </fill>
    <fill>
      <patternFill patternType="solid">
        <fgColor rgb="FFFFF2CC"/>
        <bgColor rgb="FFFCE4D6"/>
      </patternFill>
    </fill>
    <fill>
      <patternFill patternType="solid">
        <fgColor rgb="FFE2EFDA"/>
        <bgColor rgb="FFDEEAF1"/>
      </patternFill>
    </fill>
    <fill>
      <patternFill patternType="solid">
        <fgColor rgb="FFFFFFFF"/>
        <bgColor rgb="FFEBF3FB"/>
      </patternFill>
    </fill>
    <fill>
      <patternFill patternType="solid">
        <fgColor rgb="FFFCE4D6"/>
        <bgColor rgb="FFFFF2CC"/>
      </patternFill>
    </fill>
    <fill>
      <patternFill patternType="solid">
        <fgColor rgb="FFDEEAF1"/>
        <bgColor rgb="FFD6E4F0"/>
      </patternFill>
    </fill>
    <fill>
      <patternFill patternType="solid">
        <fgColor theme="4" tint="-0.249977111117893"/>
        <bgColor indexed="64"/>
      </patternFill>
    </fill>
    <fill>
      <patternFill patternType="solid">
        <fgColor rgb="FFFFC7CE"/>
      </patternFill>
    </fill>
    <fill>
      <patternFill patternType="solid">
        <fgColor rgb="FFC00000"/>
        <bgColor indexed="64"/>
      </patternFill>
    </fill>
    <fill>
      <patternFill patternType="solid">
        <fgColor rgb="FF2E75B6"/>
      </patternFill>
    </fill>
    <fill>
      <patternFill patternType="solid">
        <fgColor rgb="FFE9F0F8"/>
      </patternFill>
    </fill>
    <fill>
      <patternFill patternType="solid">
        <fgColor rgb="FF1F3864"/>
      </patternFill>
    </fill>
    <fill>
      <patternFill patternType="solid">
        <fgColor rgb="FFDCE6F1"/>
      </patternFill>
    </fill>
    <fill>
      <patternFill patternType="solid">
        <fgColor rgb="FFFFFFFF"/>
      </patternFill>
    </fill>
    <fill>
      <patternFill patternType="solid">
        <fgColor rgb="FFE8F0FE"/>
      </patternFill>
    </fill>
    <fill>
      <patternFill patternType="solid">
        <fgColor rgb="FF375623"/>
      </patternFill>
    </fill>
    <fill>
      <patternFill patternType="solid">
        <fgColor rgb="FF9C0006"/>
      </patternFill>
    </fill>
    <fill>
      <patternFill patternType="solid">
        <fgColor rgb="FF833C00"/>
      </patternFill>
    </fill>
    <fill>
      <patternFill patternType="solid">
        <fgColor rgb="FF1F5C2E"/>
      </patternFill>
    </fill>
    <fill>
      <patternFill patternType="solid">
        <fgColor rgb="FFDEEAF1"/>
      </patternFill>
    </fill>
    <fill>
      <patternFill patternType="solid">
        <fgColor rgb="FFFFE0E0"/>
      </patternFill>
    </fill>
    <fill>
      <patternFill patternType="solid">
        <fgColor rgb="FFE2EFDA"/>
      </patternFill>
    </fill>
    <fill>
      <patternFill patternType="solid">
        <fgColor rgb="FFFFF2CC"/>
      </patternFill>
    </fill>
    <fill>
      <patternFill patternType="solid">
        <fgColor rgb="FFEDE7F6"/>
      </patternFill>
    </fill>
    <fill>
      <patternFill patternType="solid">
        <fgColor rgb="FFEBF3FB"/>
      </patternFill>
    </fill>
    <fill>
      <patternFill patternType="solid">
        <fgColor rgb="FFC00000"/>
      </patternFill>
    </fill>
    <fill>
      <patternFill patternType="solid">
        <fgColor rgb="FFFFD0D0"/>
      </patternFill>
    </fill>
    <fill>
      <patternFill patternType="solid">
        <fgColor rgb="FF1F5C99"/>
      </patternFill>
    </fill>
    <fill>
      <patternFill patternType="solid">
        <fgColor rgb="FF5E35B1"/>
      </patternFill>
    </fill>
    <fill>
      <patternFill patternType="solid">
        <fgColor rgb="FFBF8F00"/>
      </patternFill>
    </fill>
  </fills>
  <borders count="24">
    <border>
      <left/>
      <right/>
      <top/>
      <bottom/>
      <diagonal/>
    </border>
    <border>
      <left style="thin">
        <color rgb="FFBFBFBF"/>
      </left>
      <right style="thin">
        <color rgb="FFBFBFBF"/>
      </right>
      <top style="thin">
        <color rgb="FFBFBFBF"/>
      </top>
      <bottom style="thin">
        <color rgb="FFBFBFBF"/>
      </bottom>
      <diagonal/>
    </border>
    <border>
      <left style="thin">
        <color rgb="FF1F4E79"/>
      </left>
      <right style="thin">
        <color rgb="FF1F4E79"/>
      </right>
      <top style="thin">
        <color rgb="FF1F4E79"/>
      </top>
      <bottom style="thin">
        <color rgb="FF1F4E79"/>
      </bottom>
      <diagonal/>
    </border>
    <border>
      <left style="medium">
        <color rgb="FF1F4E79"/>
      </left>
      <right style="medium">
        <color rgb="FF1F4E79"/>
      </right>
      <top style="medium">
        <color rgb="FF1F4E79"/>
      </top>
      <bottom style="medium">
        <color rgb="FF1F4E79"/>
      </bottom>
      <diagonal/>
    </border>
    <border>
      <left style="thin">
        <color rgb="FFBFBFBF"/>
      </left>
      <right/>
      <top style="thin">
        <color rgb="FFBFBFBF"/>
      </top>
      <bottom style="thin">
        <color rgb="FFBFBFBF"/>
      </bottom>
      <diagonal/>
    </border>
    <border>
      <left style="medium">
        <color rgb="FF9E9E9E"/>
      </left>
      <right style="medium">
        <color rgb="FF9E9E9E"/>
      </right>
      <top style="medium">
        <color rgb="FF9E9E9E"/>
      </top>
      <bottom style="medium">
        <color rgb="FF9E9E9E"/>
      </bottom>
      <diagonal/>
    </border>
    <border>
      <left style="thin">
        <color rgb="FFCCCCCC"/>
      </left>
      <right style="thin">
        <color rgb="FFCCCCCC"/>
      </right>
      <top style="thin">
        <color rgb="FFCCCCCC"/>
      </top>
      <bottom style="thin">
        <color rgb="FFCCCCCC"/>
      </bottom>
      <diagonal/>
    </border>
    <border>
      <left style="medium">
        <color rgb="FFFFFFFF"/>
      </left>
      <right style="medium">
        <color rgb="FFFFFFFF"/>
      </right>
      <top style="medium">
        <color rgb="FFFFFFFF"/>
      </top>
      <bottom style="medium">
        <color rgb="FFFFFFFF"/>
      </bottom>
      <diagonal/>
    </border>
    <border>
      <left style="thin">
        <color rgb="FFFFFFFF"/>
      </left>
      <right style="thin">
        <color rgb="FFFFFFFF"/>
      </right>
      <top style="thin">
        <color rgb="FFFFFFFF"/>
      </top>
      <bottom style="thin">
        <color rgb="FFFFFFFF"/>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0C4DE"/>
      </left>
      <right style="thin">
        <color rgb="FFB0C4DE"/>
      </right>
      <top style="medium">
        <color rgb="FF2E75B6"/>
      </top>
      <bottom style="medium">
        <color rgb="FF2E75B6"/>
      </bottom>
      <diagonal/>
    </border>
    <border>
      <left style="thin">
        <color rgb="FFB0C4DE"/>
      </left>
      <right style="thin">
        <color rgb="FFB0C4DE"/>
      </right>
      <top style="thin">
        <color rgb="FFB0C4DE"/>
      </top>
      <bottom style="thin">
        <color rgb="FFB0C4DE"/>
      </bottom>
      <diagonal/>
    </border>
    <border>
      <left style="medium">
        <color rgb="FF2E75B6"/>
      </left>
      <right/>
      <top style="medium">
        <color rgb="FF2E75B6"/>
      </top>
      <bottom style="medium">
        <color rgb="FF2E75B6"/>
      </bottom>
      <diagonal/>
    </border>
    <border>
      <left style="medium">
        <color rgb="FF2E75B6"/>
      </left>
      <right style="medium">
        <color rgb="FF2E75B6"/>
      </right>
      <top style="medium">
        <color rgb="FF2E75B6"/>
      </top>
      <bottom style="medium">
        <color rgb="FF2E75B6"/>
      </bottom>
      <diagonal/>
    </border>
    <border>
      <left style="thin">
        <color indexed="64"/>
      </left>
      <right style="thin">
        <color indexed="64"/>
      </right>
      <top style="thin">
        <color indexed="64"/>
      </top>
      <bottom style="thin">
        <color indexed="64"/>
      </bottom>
      <diagonal/>
    </border>
    <border>
      <left style="thin">
        <color rgb="FFB8CCE4"/>
      </left>
      <right style="thin">
        <color rgb="FFB8CCE4"/>
      </right>
      <top style="thin">
        <color rgb="FFB8CCE4"/>
      </top>
      <bottom style="thin">
        <color rgb="FFB8CCE4"/>
      </bottom>
      <diagonal/>
    </border>
    <border>
      <left style="medium">
        <color rgb="FF1F3864"/>
      </left>
      <right style="thin">
        <color rgb="FFB8CCE4"/>
      </right>
      <top style="thin">
        <color rgb="FFB8CCE4"/>
      </top>
      <bottom style="thin">
        <color rgb="FFB8CCE4"/>
      </bottom>
      <diagonal/>
    </border>
    <border>
      <left style="thin">
        <color rgb="FFBDD7EE"/>
      </left>
      <right style="thin">
        <color rgb="FFBDD7EE"/>
      </right>
      <top style="thin">
        <color rgb="FFBDD7EE"/>
      </top>
      <bottom style="thin">
        <color rgb="FFBDD7EE"/>
      </bottom>
      <diagonal/>
    </border>
    <border>
      <left/>
      <right/>
      <top style="thin">
        <color rgb="FFBDD7EE"/>
      </top>
      <bottom style="thin">
        <color rgb="FFBDD7EE"/>
      </bottom>
      <diagonal/>
    </border>
    <border>
      <left/>
      <right style="thin">
        <color rgb="FFBDD7EE"/>
      </right>
      <top style="thin">
        <color rgb="FFBDD7EE"/>
      </top>
      <bottom style="thin">
        <color rgb="FFBDD7EE"/>
      </bottom>
      <diagonal/>
    </border>
    <border>
      <left style="thin">
        <color rgb="FFD6DCE4"/>
      </left>
      <right style="thin">
        <color rgb="FFD6DCE4"/>
      </right>
      <top style="thin">
        <color rgb="FFD6DCE4"/>
      </top>
      <bottom style="thin">
        <color rgb="FFD6DCE4"/>
      </bottom>
      <diagonal/>
    </border>
    <border>
      <left/>
      <right style="thin">
        <color rgb="FFD6DCE4"/>
      </right>
      <top style="thin">
        <color rgb="FFD6DCE4"/>
      </top>
      <bottom style="thin">
        <color rgb="FFD6DCE4"/>
      </bottom>
      <diagonal/>
    </border>
    <border>
      <left/>
      <right/>
      <top style="thin">
        <color rgb="FFD6DCE4"/>
      </top>
      <bottom style="thin">
        <color rgb="FFD6DCE4"/>
      </bottom>
      <diagonal/>
    </border>
  </borders>
  <cellStyleXfs count="2">
    <xf numFmtId="0" fontId="0" fillId="0" borderId="0"/>
    <xf numFmtId="0" fontId="47" fillId="0" borderId="0"/>
  </cellStyleXfs>
  <cellXfs count="800">
    <xf numFmtId="0" fontId="0" fillId="0" borderId="0" xfId="0"/>
    <xf numFmtId="164" fontId="0" fillId="0" borderId="0" xfId="0" applyNumberFormat="1"/>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6" fillId="7" borderId="1" xfId="0" applyFont="1" applyFill="1" applyBorder="1" applyAlignment="1">
      <alignment horizontal="center" vertical="center" wrapText="1"/>
    </xf>
    <xf numFmtId="0" fontId="7" fillId="3"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3" fillId="8"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10" fillId="10" borderId="1" xfId="0" applyFont="1" applyFill="1" applyBorder="1" applyAlignment="1">
      <alignment horizontal="left" vertical="top" wrapText="1"/>
    </xf>
    <xf numFmtId="0" fontId="7" fillId="4" borderId="1" xfId="0" applyFont="1" applyFill="1" applyBorder="1" applyAlignment="1">
      <alignment horizontal="center" vertical="top" wrapText="1"/>
    </xf>
    <xf numFmtId="0" fontId="7"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7" fillId="11" borderId="1" xfId="0" applyFont="1" applyFill="1" applyBorder="1" applyAlignment="1">
      <alignment horizontal="center" vertical="top" wrapText="1"/>
    </xf>
    <xf numFmtId="0" fontId="7" fillId="11"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3" fillId="12" borderId="1" xfId="0" applyFont="1" applyFill="1" applyBorder="1" applyAlignment="1">
      <alignment horizontal="center" vertical="top" wrapText="1"/>
    </xf>
    <xf numFmtId="0" fontId="11" fillId="13" borderId="1" xfId="0" applyFont="1" applyFill="1" applyBorder="1" applyAlignment="1">
      <alignment horizontal="center" vertical="top" wrapText="1"/>
    </xf>
    <xf numFmtId="0" fontId="10" fillId="14" borderId="1" xfId="0" applyFont="1" applyFill="1" applyBorder="1" applyAlignment="1">
      <alignment horizontal="left"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2" fillId="16" borderId="1" xfId="0" applyFont="1" applyFill="1" applyBorder="1" applyAlignment="1">
      <alignment horizontal="center" vertical="top" wrapText="1"/>
    </xf>
    <xf numFmtId="0" fontId="12" fillId="16" borderId="1" xfId="0" applyFont="1" applyFill="1" applyBorder="1" applyAlignment="1">
      <alignment horizontal="left" vertical="top" wrapText="1"/>
    </xf>
    <xf numFmtId="0" fontId="13" fillId="16" borderId="1" xfId="0" applyFont="1" applyFill="1" applyBorder="1" applyAlignment="1">
      <alignment horizontal="left" vertical="top" wrapText="1"/>
    </xf>
    <xf numFmtId="0" fontId="3" fillId="17" borderId="1" xfId="0" applyFont="1" applyFill="1" applyBorder="1" applyAlignment="1">
      <alignment horizontal="center" vertical="top" wrapText="1"/>
    </xf>
    <xf numFmtId="0" fontId="14" fillId="16" borderId="1" xfId="0" applyFont="1" applyFill="1" applyBorder="1" applyAlignment="1">
      <alignment horizontal="center" vertical="top" wrapText="1"/>
    </xf>
    <xf numFmtId="0" fontId="15" fillId="16" borderId="1" xfId="0" applyFont="1" applyFill="1" applyBorder="1" applyAlignment="1">
      <alignment horizontal="left" vertical="top" wrapText="1"/>
    </xf>
    <xf numFmtId="0" fontId="12" fillId="18" borderId="1" xfId="0" applyFont="1" applyFill="1" applyBorder="1" applyAlignment="1">
      <alignment horizontal="center" vertical="top" wrapText="1"/>
    </xf>
    <xf numFmtId="0" fontId="12" fillId="18" borderId="1" xfId="0" applyFont="1" applyFill="1" applyBorder="1" applyAlignment="1">
      <alignment horizontal="left" vertical="top" wrapText="1"/>
    </xf>
    <xf numFmtId="0" fontId="13" fillId="18" borderId="1" xfId="0" applyFont="1" applyFill="1" applyBorder="1" applyAlignment="1">
      <alignment horizontal="left" vertical="top" wrapText="1"/>
    </xf>
    <xf numFmtId="0" fontId="14" fillId="18" borderId="1" xfId="0" applyFont="1" applyFill="1" applyBorder="1" applyAlignment="1">
      <alignment horizontal="center" vertical="top" wrapText="1"/>
    </xf>
    <xf numFmtId="0" fontId="15" fillId="18"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7" fillId="19" borderId="1" xfId="0" applyFont="1" applyFill="1" applyBorder="1" applyAlignment="1">
      <alignment horizontal="left" vertical="top" wrapText="1"/>
    </xf>
    <xf numFmtId="0" fontId="3" fillId="20" borderId="1" xfId="0" applyFont="1" applyFill="1" applyBorder="1" applyAlignment="1">
      <alignment horizontal="center" vertical="top" wrapText="1"/>
    </xf>
    <xf numFmtId="0" fontId="16" fillId="4" borderId="1" xfId="0" applyFont="1" applyFill="1" applyBorder="1" applyAlignment="1">
      <alignment horizontal="left" vertical="top" wrapText="1"/>
    </xf>
    <xf numFmtId="0" fontId="16" fillId="2" borderId="1" xfId="0" applyFont="1" applyFill="1" applyBorder="1" applyAlignment="1">
      <alignment horizontal="left" vertical="top" wrapText="1"/>
    </xf>
    <xf numFmtId="0" fontId="17" fillId="21" borderId="1" xfId="0" applyFont="1" applyFill="1" applyBorder="1" applyAlignment="1">
      <alignment horizontal="left" vertical="top" wrapText="1"/>
    </xf>
    <xf numFmtId="0" fontId="16" fillId="11" borderId="1" xfId="0" applyFont="1" applyFill="1" applyBorder="1" applyAlignment="1">
      <alignment horizontal="left" vertical="top" wrapText="1"/>
    </xf>
    <xf numFmtId="0" fontId="32" fillId="32" borderId="2" xfId="0" applyFont="1" applyFill="1" applyBorder="1" applyAlignment="1">
      <alignment horizontal="center" vertical="center" wrapText="1"/>
    </xf>
    <xf numFmtId="0" fontId="23" fillId="16" borderId="1" xfId="0" applyFont="1" applyFill="1" applyBorder="1" applyAlignment="1">
      <alignment horizontal="center" vertical="center"/>
    </xf>
    <xf numFmtId="0" fontId="33" fillId="33" borderId="1" xfId="0" applyFont="1" applyFill="1" applyBorder="1" applyAlignment="1">
      <alignment horizontal="center" vertical="center"/>
    </xf>
    <xf numFmtId="0" fontId="25" fillId="23" borderId="1" xfId="0" applyFont="1" applyFill="1" applyBorder="1" applyAlignment="1">
      <alignment horizontal="center" vertical="center"/>
    </xf>
    <xf numFmtId="3" fontId="24" fillId="23" borderId="1" xfId="0" applyNumberFormat="1" applyFont="1" applyFill="1" applyBorder="1" applyAlignment="1">
      <alignment horizontal="right" vertical="center"/>
    </xf>
    <xf numFmtId="3" fontId="34" fillId="23" borderId="1" xfId="0" applyNumberFormat="1" applyFont="1" applyFill="1" applyBorder="1" applyAlignment="1">
      <alignment horizontal="right" vertical="center"/>
    </xf>
    <xf numFmtId="3" fontId="26" fillId="23" borderId="1" xfId="0" applyNumberFormat="1" applyFont="1" applyFill="1" applyBorder="1" applyAlignment="1">
      <alignment horizontal="right" vertical="center"/>
    </xf>
    <xf numFmtId="3" fontId="22" fillId="23" borderId="1" xfId="0" applyNumberFormat="1" applyFont="1" applyFill="1" applyBorder="1" applyAlignment="1">
      <alignment horizontal="right" vertical="center"/>
    </xf>
    <xf numFmtId="3" fontId="35" fillId="23" borderId="1" xfId="0" applyNumberFormat="1" applyFont="1" applyFill="1" applyBorder="1" applyAlignment="1">
      <alignment horizontal="right" vertical="center"/>
    </xf>
    <xf numFmtId="3" fontId="36" fillId="23" borderId="1" xfId="0" applyNumberFormat="1" applyFont="1" applyFill="1" applyBorder="1" applyAlignment="1">
      <alignment horizontal="right" vertical="center"/>
    </xf>
    <xf numFmtId="0" fontId="32" fillId="34" borderId="1" xfId="0" applyFont="1" applyFill="1" applyBorder="1" applyAlignment="1">
      <alignment horizontal="center" vertical="center"/>
    </xf>
    <xf numFmtId="0" fontId="25" fillId="28" borderId="1" xfId="0" applyFont="1" applyFill="1" applyBorder="1" applyAlignment="1">
      <alignment horizontal="center" vertical="center"/>
    </xf>
    <xf numFmtId="3" fontId="24" fillId="28" borderId="1" xfId="0" applyNumberFormat="1" applyFont="1" applyFill="1" applyBorder="1" applyAlignment="1">
      <alignment horizontal="right" vertical="center"/>
    </xf>
    <xf numFmtId="3" fontId="34" fillId="28" borderId="1" xfId="0" applyNumberFormat="1" applyFont="1" applyFill="1" applyBorder="1" applyAlignment="1">
      <alignment horizontal="right" vertical="center"/>
    </xf>
    <xf numFmtId="3" fontId="26" fillId="28" borderId="1" xfId="0" applyNumberFormat="1" applyFont="1" applyFill="1" applyBorder="1" applyAlignment="1">
      <alignment horizontal="right" vertical="center"/>
    </xf>
    <xf numFmtId="3" fontId="22" fillId="28" borderId="1" xfId="0" applyNumberFormat="1" applyFont="1" applyFill="1" applyBorder="1" applyAlignment="1">
      <alignment horizontal="right" vertical="center"/>
    </xf>
    <xf numFmtId="3" fontId="35" fillId="28" borderId="1" xfId="0" applyNumberFormat="1" applyFont="1" applyFill="1" applyBorder="1" applyAlignment="1">
      <alignment horizontal="right" vertical="center"/>
    </xf>
    <xf numFmtId="3" fontId="36" fillId="28" borderId="1" xfId="0" applyNumberFormat="1" applyFont="1" applyFill="1" applyBorder="1" applyAlignment="1">
      <alignment horizontal="right" vertical="center"/>
    </xf>
    <xf numFmtId="0" fontId="32" fillId="35" borderId="1" xfId="0" applyFont="1" applyFill="1" applyBorder="1" applyAlignment="1">
      <alignment horizontal="center" vertical="center"/>
    </xf>
    <xf numFmtId="0" fontId="25" fillId="31" borderId="1" xfId="0" applyFont="1" applyFill="1" applyBorder="1" applyAlignment="1">
      <alignment horizontal="center" vertical="center"/>
    </xf>
    <xf numFmtId="3" fontId="24" fillId="31" borderId="1" xfId="0" applyNumberFormat="1" applyFont="1" applyFill="1" applyBorder="1" applyAlignment="1">
      <alignment horizontal="right" vertical="center"/>
    </xf>
    <xf numFmtId="3" fontId="34" fillId="31" borderId="1" xfId="0" applyNumberFormat="1" applyFont="1" applyFill="1" applyBorder="1" applyAlignment="1">
      <alignment horizontal="right" vertical="center"/>
    </xf>
    <xf numFmtId="3" fontId="26" fillId="31" borderId="1" xfId="0" applyNumberFormat="1" applyFont="1" applyFill="1" applyBorder="1" applyAlignment="1">
      <alignment horizontal="right" vertical="center"/>
    </xf>
    <xf numFmtId="3" fontId="22" fillId="31" borderId="1" xfId="0" applyNumberFormat="1" applyFont="1" applyFill="1" applyBorder="1" applyAlignment="1">
      <alignment horizontal="right" vertical="center"/>
    </xf>
    <xf numFmtId="3" fontId="35" fillId="31" borderId="1" xfId="0" applyNumberFormat="1" applyFont="1" applyFill="1" applyBorder="1" applyAlignment="1">
      <alignment horizontal="right" vertical="center"/>
    </xf>
    <xf numFmtId="3" fontId="36" fillId="31" borderId="1" xfId="0" applyNumberFormat="1" applyFont="1" applyFill="1" applyBorder="1" applyAlignment="1">
      <alignment horizontal="right" vertical="center"/>
    </xf>
    <xf numFmtId="0" fontId="32" fillId="36" borderId="1" xfId="0" applyFont="1" applyFill="1" applyBorder="1" applyAlignment="1">
      <alignment horizontal="center" vertical="center"/>
    </xf>
    <xf numFmtId="0" fontId="25" fillId="30" borderId="1" xfId="0" applyFont="1" applyFill="1" applyBorder="1" applyAlignment="1">
      <alignment horizontal="center" vertical="center"/>
    </xf>
    <xf numFmtId="3" fontId="24" fillId="30" borderId="1" xfId="0" applyNumberFormat="1" applyFont="1" applyFill="1" applyBorder="1" applyAlignment="1">
      <alignment horizontal="right" vertical="center"/>
    </xf>
    <xf numFmtId="3" fontId="34" fillId="30" borderId="1" xfId="0" applyNumberFormat="1" applyFont="1" applyFill="1" applyBorder="1" applyAlignment="1">
      <alignment horizontal="right" vertical="center"/>
    </xf>
    <xf numFmtId="3" fontId="26" fillId="30" borderId="1" xfId="0" applyNumberFormat="1" applyFont="1" applyFill="1" applyBorder="1" applyAlignment="1">
      <alignment horizontal="right" vertical="center"/>
    </xf>
    <xf numFmtId="3" fontId="22" fillId="30" borderId="1" xfId="0" applyNumberFormat="1" applyFont="1" applyFill="1" applyBorder="1" applyAlignment="1">
      <alignment horizontal="right" vertical="center"/>
    </xf>
    <xf numFmtId="3" fontId="35" fillId="30" borderId="1" xfId="0" applyNumberFormat="1" applyFont="1" applyFill="1" applyBorder="1" applyAlignment="1">
      <alignment horizontal="right" vertical="center"/>
    </xf>
    <xf numFmtId="3" fontId="36" fillId="30" borderId="1" xfId="0" applyNumberFormat="1" applyFont="1" applyFill="1" applyBorder="1" applyAlignment="1">
      <alignment horizontal="right" vertical="center"/>
    </xf>
    <xf numFmtId="0" fontId="32" fillId="37" borderId="1" xfId="0" applyFont="1" applyFill="1" applyBorder="1" applyAlignment="1">
      <alignment horizontal="center" vertical="center"/>
    </xf>
    <xf numFmtId="0" fontId="25" fillId="24" borderId="1" xfId="0" applyFont="1" applyFill="1" applyBorder="1" applyAlignment="1">
      <alignment horizontal="center" vertical="center"/>
    </xf>
    <xf numFmtId="3" fontId="24" fillId="24" borderId="1" xfId="0" applyNumberFormat="1" applyFont="1" applyFill="1" applyBorder="1" applyAlignment="1">
      <alignment horizontal="right" vertical="center"/>
    </xf>
    <xf numFmtId="3" fontId="34" fillId="24" borderId="1" xfId="0" applyNumberFormat="1" applyFont="1" applyFill="1" applyBorder="1" applyAlignment="1">
      <alignment horizontal="right" vertical="center"/>
    </xf>
    <xf numFmtId="3" fontId="26" fillId="24" borderId="1" xfId="0" applyNumberFormat="1" applyFont="1" applyFill="1" applyBorder="1" applyAlignment="1">
      <alignment horizontal="right" vertical="center"/>
    </xf>
    <xf numFmtId="3" fontId="22" fillId="24" borderId="1" xfId="0" applyNumberFormat="1" applyFont="1" applyFill="1" applyBorder="1" applyAlignment="1">
      <alignment horizontal="right" vertical="center"/>
    </xf>
    <xf numFmtId="3" fontId="35" fillId="24" borderId="1" xfId="0" applyNumberFormat="1" applyFont="1" applyFill="1" applyBorder="1" applyAlignment="1">
      <alignment horizontal="right" vertical="center"/>
    </xf>
    <xf numFmtId="3" fontId="36" fillId="24" borderId="1" xfId="0" applyNumberFormat="1" applyFont="1" applyFill="1" applyBorder="1" applyAlignment="1">
      <alignment horizontal="right" vertical="center"/>
    </xf>
    <xf numFmtId="0" fontId="32" fillId="38" borderId="1" xfId="0" applyFont="1" applyFill="1" applyBorder="1" applyAlignment="1">
      <alignment horizontal="center" vertical="center"/>
    </xf>
    <xf numFmtId="0" fontId="25" fillId="27" borderId="1" xfId="0" applyFont="1" applyFill="1" applyBorder="1" applyAlignment="1">
      <alignment horizontal="center" vertical="center"/>
    </xf>
    <xf numFmtId="3" fontId="24" fillId="27" borderId="1" xfId="0" applyNumberFormat="1" applyFont="1" applyFill="1" applyBorder="1" applyAlignment="1">
      <alignment horizontal="right" vertical="center"/>
    </xf>
    <xf numFmtId="3" fontId="34" fillId="27" borderId="1" xfId="0" applyNumberFormat="1" applyFont="1" applyFill="1" applyBorder="1" applyAlignment="1">
      <alignment horizontal="right" vertical="center"/>
    </xf>
    <xf numFmtId="3" fontId="26" fillId="27" borderId="1" xfId="0" applyNumberFormat="1" applyFont="1" applyFill="1" applyBorder="1" applyAlignment="1">
      <alignment horizontal="right" vertical="center"/>
    </xf>
    <xf numFmtId="3" fontId="22" fillId="27" borderId="1" xfId="0" applyNumberFormat="1" applyFont="1" applyFill="1" applyBorder="1" applyAlignment="1">
      <alignment horizontal="right" vertical="center"/>
    </xf>
    <xf numFmtId="3" fontId="35" fillId="27" borderId="1" xfId="0" applyNumberFormat="1" applyFont="1" applyFill="1" applyBorder="1" applyAlignment="1">
      <alignment horizontal="right" vertical="center"/>
    </xf>
    <xf numFmtId="3" fontId="36" fillId="27" borderId="1" xfId="0" applyNumberFormat="1" applyFont="1" applyFill="1" applyBorder="1" applyAlignment="1">
      <alignment horizontal="right" vertical="center"/>
    </xf>
    <xf numFmtId="0" fontId="31" fillId="5" borderId="3" xfId="0" applyFont="1" applyFill="1" applyBorder="1" applyAlignment="1">
      <alignment horizontal="center" vertical="center"/>
    </xf>
    <xf numFmtId="3" fontId="31" fillId="5" borderId="3" xfId="0" applyNumberFormat="1" applyFont="1" applyFill="1" applyBorder="1" applyAlignment="1">
      <alignment horizontal="right" vertical="center"/>
    </xf>
    <xf numFmtId="0" fontId="37" fillId="32" borderId="2" xfId="0" applyFont="1" applyFill="1" applyBorder="1" applyAlignment="1">
      <alignment horizontal="center" vertical="center" wrapText="1"/>
    </xf>
    <xf numFmtId="0" fontId="38" fillId="16" borderId="1" xfId="0" applyFont="1" applyFill="1" applyBorder="1" applyAlignment="1">
      <alignment horizontal="center" vertical="center"/>
    </xf>
    <xf numFmtId="0" fontId="37" fillId="37" borderId="1" xfId="0" applyFont="1" applyFill="1" applyBorder="1" applyAlignment="1">
      <alignment horizontal="center" vertical="center"/>
    </xf>
    <xf numFmtId="0" fontId="39" fillId="24" borderId="1" xfId="0" applyFont="1" applyFill="1" applyBorder="1" applyAlignment="1">
      <alignment horizontal="center" vertical="center"/>
    </xf>
    <xf numFmtId="0" fontId="40" fillId="24" borderId="1" xfId="0" applyFont="1" applyFill="1" applyBorder="1" applyAlignment="1">
      <alignment horizontal="left" vertical="center" indent="1"/>
    </xf>
    <xf numFmtId="3" fontId="40" fillId="24" borderId="1" xfId="0" applyNumberFormat="1" applyFont="1" applyFill="1" applyBorder="1" applyAlignment="1">
      <alignment horizontal="right" vertical="center"/>
    </xf>
    <xf numFmtId="3" fontId="41" fillId="24" borderId="1" xfId="0" applyNumberFormat="1" applyFont="1" applyFill="1" applyBorder="1" applyAlignment="1">
      <alignment horizontal="right" vertical="center"/>
    </xf>
    <xf numFmtId="3" fontId="42" fillId="24" borderId="1" xfId="0" applyNumberFormat="1" applyFont="1" applyFill="1" applyBorder="1" applyAlignment="1">
      <alignment horizontal="right" vertical="center"/>
    </xf>
    <xf numFmtId="3" fontId="43" fillId="24" borderId="1" xfId="0" applyNumberFormat="1" applyFont="1" applyFill="1" applyBorder="1" applyAlignment="1">
      <alignment horizontal="right" vertical="center"/>
    </xf>
    <xf numFmtId="0" fontId="44" fillId="24" borderId="1" xfId="0" applyFont="1" applyFill="1" applyBorder="1" applyAlignment="1">
      <alignment horizontal="center" vertical="center"/>
    </xf>
    <xf numFmtId="0" fontId="45" fillId="24" borderId="1" xfId="0" applyFont="1" applyFill="1" applyBorder="1" applyAlignment="1">
      <alignment horizontal="center" vertical="center"/>
    </xf>
    <xf numFmtId="0" fontId="37" fillId="36" borderId="1" xfId="0" applyFont="1" applyFill="1" applyBorder="1" applyAlignment="1">
      <alignment horizontal="center" vertical="center"/>
    </xf>
    <xf numFmtId="0" fontId="39" fillId="30" borderId="1" xfId="0" applyFont="1" applyFill="1" applyBorder="1" applyAlignment="1">
      <alignment horizontal="center" vertical="center"/>
    </xf>
    <xf numFmtId="0" fontId="40" fillId="30" borderId="1" xfId="0" applyFont="1" applyFill="1" applyBorder="1" applyAlignment="1">
      <alignment horizontal="left" vertical="center" indent="1"/>
    </xf>
    <xf numFmtId="3" fontId="40" fillId="30" borderId="1" xfId="0" applyNumberFormat="1" applyFont="1" applyFill="1" applyBorder="1" applyAlignment="1">
      <alignment horizontal="right" vertical="center"/>
    </xf>
    <xf numFmtId="3" fontId="41" fillId="30" borderId="1" xfId="0" applyNumberFormat="1" applyFont="1" applyFill="1" applyBorder="1" applyAlignment="1">
      <alignment horizontal="right" vertical="center"/>
    </xf>
    <xf numFmtId="3" fontId="42" fillId="30" borderId="1" xfId="0" applyNumberFormat="1" applyFont="1" applyFill="1" applyBorder="1" applyAlignment="1">
      <alignment horizontal="right" vertical="center"/>
    </xf>
    <xf numFmtId="3" fontId="43" fillId="30" borderId="1" xfId="0" applyNumberFormat="1" applyFont="1" applyFill="1" applyBorder="1" applyAlignment="1">
      <alignment horizontal="right" vertical="center"/>
    </xf>
    <xf numFmtId="0" fontId="44" fillId="30" borderId="1" xfId="0" applyFont="1" applyFill="1" applyBorder="1" applyAlignment="1">
      <alignment horizontal="center" vertical="center"/>
    </xf>
    <xf numFmtId="0" fontId="45" fillId="30" borderId="1" xfId="0" applyFont="1" applyFill="1" applyBorder="1" applyAlignment="1">
      <alignment horizontal="center" vertical="center"/>
    </xf>
    <xf numFmtId="0" fontId="37" fillId="34" borderId="1" xfId="0" applyFont="1" applyFill="1" applyBorder="1" applyAlignment="1">
      <alignment horizontal="center" vertical="center"/>
    </xf>
    <xf numFmtId="0" fontId="39" fillId="28" borderId="1" xfId="0" applyFont="1" applyFill="1" applyBorder="1" applyAlignment="1">
      <alignment horizontal="center" vertical="center"/>
    </xf>
    <xf numFmtId="0" fontId="40" fillId="28" borderId="1" xfId="0" applyFont="1" applyFill="1" applyBorder="1" applyAlignment="1">
      <alignment horizontal="left" vertical="center" indent="1"/>
    </xf>
    <xf numFmtId="3" fontId="40" fillId="28" borderId="1" xfId="0" applyNumberFormat="1" applyFont="1" applyFill="1" applyBorder="1" applyAlignment="1">
      <alignment horizontal="right" vertical="center"/>
    </xf>
    <xf numFmtId="3" fontId="41" fillId="28" borderId="1" xfId="0" applyNumberFormat="1" applyFont="1" applyFill="1" applyBorder="1" applyAlignment="1">
      <alignment horizontal="right" vertical="center"/>
    </xf>
    <xf numFmtId="3" fontId="42" fillId="28" borderId="1" xfId="0" applyNumberFormat="1" applyFont="1" applyFill="1" applyBorder="1" applyAlignment="1">
      <alignment horizontal="right" vertical="center"/>
    </xf>
    <xf numFmtId="3" fontId="43" fillId="28" borderId="1" xfId="0" applyNumberFormat="1" applyFont="1" applyFill="1" applyBorder="1" applyAlignment="1">
      <alignment horizontal="right" vertical="center"/>
    </xf>
    <xf numFmtId="0" fontId="44" fillId="28" borderId="1" xfId="0" applyFont="1" applyFill="1" applyBorder="1" applyAlignment="1">
      <alignment horizontal="center" vertical="center"/>
    </xf>
    <xf numFmtId="0" fontId="45" fillId="28" borderId="1" xfId="0" applyFont="1" applyFill="1" applyBorder="1" applyAlignment="1">
      <alignment horizontal="center" vertical="center"/>
    </xf>
    <xf numFmtId="0" fontId="37" fillId="38" borderId="1" xfId="0" applyFont="1" applyFill="1" applyBorder="1" applyAlignment="1">
      <alignment horizontal="center" vertical="center"/>
    </xf>
    <xf numFmtId="0" fontId="39" fillId="27" borderId="1" xfId="0" applyFont="1" applyFill="1" applyBorder="1" applyAlignment="1">
      <alignment horizontal="center" vertical="center"/>
    </xf>
    <xf numFmtId="0" fontId="40" fillId="27" borderId="1" xfId="0" applyFont="1" applyFill="1" applyBorder="1" applyAlignment="1">
      <alignment horizontal="left" vertical="center" indent="1"/>
    </xf>
    <xf numFmtId="3" fontId="40" fillId="27" borderId="1" xfId="0" applyNumberFormat="1" applyFont="1" applyFill="1" applyBorder="1" applyAlignment="1">
      <alignment horizontal="right" vertical="center"/>
    </xf>
    <xf numFmtId="3" fontId="41" fillId="27" borderId="1" xfId="0" applyNumberFormat="1" applyFont="1" applyFill="1" applyBorder="1" applyAlignment="1">
      <alignment horizontal="right" vertical="center"/>
    </xf>
    <xf numFmtId="3" fontId="42" fillId="27" borderId="1" xfId="0" applyNumberFormat="1" applyFont="1" applyFill="1" applyBorder="1" applyAlignment="1">
      <alignment horizontal="right" vertical="center"/>
    </xf>
    <xf numFmtId="3" fontId="43" fillId="27" borderId="1" xfId="0" applyNumberFormat="1" applyFont="1" applyFill="1" applyBorder="1" applyAlignment="1">
      <alignment horizontal="right" vertical="center"/>
    </xf>
    <xf numFmtId="0" fontId="44" fillId="27" borderId="1" xfId="0" applyFont="1" applyFill="1" applyBorder="1" applyAlignment="1">
      <alignment horizontal="center" vertical="center"/>
    </xf>
    <xf numFmtId="0" fontId="45" fillId="27" borderId="1" xfId="0" applyFont="1" applyFill="1" applyBorder="1" applyAlignment="1">
      <alignment horizontal="center" vertical="center"/>
    </xf>
    <xf numFmtId="0" fontId="37" fillId="35" borderId="1" xfId="0" applyFont="1" applyFill="1" applyBorder="1" applyAlignment="1">
      <alignment horizontal="center" vertical="center"/>
    </xf>
    <xf numFmtId="0" fontId="39" fillId="31" borderId="1" xfId="0" applyFont="1" applyFill="1" applyBorder="1" applyAlignment="1">
      <alignment horizontal="center" vertical="center"/>
    </xf>
    <xf numFmtId="0" fontId="40" fillId="31" borderId="1" xfId="0" applyFont="1" applyFill="1" applyBorder="1" applyAlignment="1">
      <alignment horizontal="left" vertical="center" indent="1"/>
    </xf>
    <xf numFmtId="3" fontId="40" fillId="31" borderId="1" xfId="0" applyNumberFormat="1" applyFont="1" applyFill="1" applyBorder="1" applyAlignment="1">
      <alignment horizontal="right" vertical="center"/>
    </xf>
    <xf numFmtId="3" fontId="41" fillId="31" borderId="1" xfId="0" applyNumberFormat="1" applyFont="1" applyFill="1" applyBorder="1" applyAlignment="1">
      <alignment horizontal="right" vertical="center"/>
    </xf>
    <xf numFmtId="3" fontId="42" fillId="31" borderId="1" xfId="0" applyNumberFormat="1" applyFont="1" applyFill="1" applyBorder="1" applyAlignment="1">
      <alignment horizontal="right" vertical="center"/>
    </xf>
    <xf numFmtId="3" fontId="43" fillId="31" borderId="1" xfId="0" applyNumberFormat="1" applyFont="1" applyFill="1" applyBorder="1" applyAlignment="1">
      <alignment horizontal="right" vertical="center"/>
    </xf>
    <xf numFmtId="0" fontId="44" fillId="31" borderId="1" xfId="0" applyFont="1" applyFill="1" applyBorder="1" applyAlignment="1">
      <alignment horizontal="center" vertical="center"/>
    </xf>
    <xf numFmtId="0" fontId="45" fillId="31" borderId="1" xfId="0" applyFont="1" applyFill="1" applyBorder="1" applyAlignment="1">
      <alignment horizontal="center" vertical="center"/>
    </xf>
    <xf numFmtId="0" fontId="37" fillId="39" borderId="1" xfId="0" applyFont="1" applyFill="1" applyBorder="1" applyAlignment="1">
      <alignment horizontal="center" vertical="center"/>
    </xf>
    <xf numFmtId="0" fontId="39" fillId="23" borderId="1" xfId="0" applyFont="1" applyFill="1" applyBorder="1" applyAlignment="1">
      <alignment horizontal="center" vertical="center"/>
    </xf>
    <xf numFmtId="0" fontId="40" fillId="23" borderId="1" xfId="0" applyFont="1" applyFill="1" applyBorder="1" applyAlignment="1">
      <alignment horizontal="left" vertical="center" indent="1"/>
    </xf>
    <xf numFmtId="3" fontId="40" fillId="23" borderId="1" xfId="0" applyNumberFormat="1" applyFont="1" applyFill="1" applyBorder="1" applyAlignment="1">
      <alignment horizontal="right" vertical="center"/>
    </xf>
    <xf numFmtId="3" fontId="41" fillId="23" borderId="1" xfId="0" applyNumberFormat="1" applyFont="1" applyFill="1" applyBorder="1" applyAlignment="1">
      <alignment horizontal="right" vertical="center"/>
    </xf>
    <xf numFmtId="3" fontId="42" fillId="23" borderId="1" xfId="0" applyNumberFormat="1" applyFont="1" applyFill="1" applyBorder="1" applyAlignment="1">
      <alignment horizontal="right" vertical="center"/>
    </xf>
    <xf numFmtId="3" fontId="43" fillId="23" borderId="1" xfId="0" applyNumberFormat="1" applyFont="1" applyFill="1" applyBorder="1" applyAlignment="1">
      <alignment horizontal="right" vertical="center"/>
    </xf>
    <xf numFmtId="0" fontId="44" fillId="23" borderId="1" xfId="0" applyFont="1" applyFill="1" applyBorder="1" applyAlignment="1">
      <alignment horizontal="center" vertical="center"/>
    </xf>
    <xf numFmtId="0" fontId="45" fillId="23" borderId="1" xfId="0" applyFont="1" applyFill="1" applyBorder="1" applyAlignment="1">
      <alignment horizontal="center" vertical="center"/>
    </xf>
    <xf numFmtId="0" fontId="47" fillId="0" borderId="0" xfId="1"/>
    <xf numFmtId="0" fontId="47" fillId="41" borderId="0" xfId="1" applyFill="1"/>
    <xf numFmtId="0" fontId="32" fillId="42" borderId="1" xfId="1" applyFont="1" applyFill="1" applyBorder="1" applyAlignment="1">
      <alignment horizontal="center" vertical="center"/>
    </xf>
    <xf numFmtId="0" fontId="33" fillId="0" borderId="1" xfId="1" applyFont="1" applyBorder="1" applyAlignment="1">
      <alignment horizontal="left" vertical="center"/>
    </xf>
    <xf numFmtId="0" fontId="49" fillId="0" borderId="1" xfId="1" applyFont="1" applyBorder="1" applyAlignment="1">
      <alignment horizontal="center" vertical="center"/>
    </xf>
    <xf numFmtId="0" fontId="27" fillId="0" borderId="1" xfId="1" applyFont="1" applyBorder="1" applyAlignment="1">
      <alignment horizontal="left" vertical="center"/>
    </xf>
    <xf numFmtId="0" fontId="28" fillId="0" borderId="1" xfId="1" applyFont="1" applyBorder="1" applyAlignment="1">
      <alignment horizontal="left" vertical="center"/>
    </xf>
    <xf numFmtId="0" fontId="50" fillId="0" borderId="1" xfId="1" applyFont="1" applyBorder="1" applyAlignment="1">
      <alignment horizontal="left" vertical="center"/>
    </xf>
    <xf numFmtId="0" fontId="33" fillId="0" borderId="0" xfId="1" applyFont="1"/>
    <xf numFmtId="0" fontId="34" fillId="43" borderId="1" xfId="1" applyFont="1" applyFill="1" applyBorder="1" applyAlignment="1">
      <alignment horizontal="center" vertical="center"/>
    </xf>
    <xf numFmtId="0" fontId="51" fillId="44" borderId="1" xfId="1" applyFont="1" applyFill="1" applyBorder="1" applyAlignment="1">
      <alignment horizontal="center" vertical="center"/>
    </xf>
    <xf numFmtId="0" fontId="52" fillId="45" borderId="1" xfId="1" applyFont="1" applyFill="1" applyBorder="1" applyAlignment="1">
      <alignment horizontal="center" vertical="center"/>
    </xf>
    <xf numFmtId="0" fontId="28" fillId="44" borderId="1" xfId="1" applyFont="1" applyFill="1" applyBorder="1" applyAlignment="1">
      <alignment horizontal="center" vertical="center"/>
    </xf>
    <xf numFmtId="0" fontId="51" fillId="44" borderId="1" xfId="1" applyFont="1" applyFill="1" applyBorder="1" applyAlignment="1">
      <alignment horizontal="left" vertical="center"/>
    </xf>
    <xf numFmtId="0" fontId="50" fillId="45" borderId="1" xfId="1" applyFont="1" applyFill="1" applyBorder="1" applyAlignment="1">
      <alignment horizontal="center" vertical="center"/>
    </xf>
    <xf numFmtId="0" fontId="52" fillId="45" borderId="1" xfId="1" applyFont="1" applyFill="1" applyBorder="1" applyAlignment="1">
      <alignment horizontal="left" vertical="center"/>
    </xf>
    <xf numFmtId="0" fontId="47" fillId="48" borderId="0" xfId="1" applyFill="1"/>
    <xf numFmtId="0" fontId="55" fillId="50" borderId="1" xfId="1" applyFont="1" applyFill="1" applyBorder="1" applyAlignment="1">
      <alignment horizontal="center" vertical="center" wrapText="1"/>
    </xf>
    <xf numFmtId="0" fontId="56" fillId="51" borderId="5" xfId="1" applyFont="1" applyFill="1" applyBorder="1" applyAlignment="1">
      <alignment horizontal="center" vertical="center" wrapText="1"/>
    </xf>
    <xf numFmtId="0" fontId="57" fillId="52" borderId="5" xfId="1" applyFont="1" applyFill="1" applyBorder="1" applyAlignment="1">
      <alignment horizontal="center" vertical="center" wrapText="1"/>
    </xf>
    <xf numFmtId="0" fontId="58" fillId="53" borderId="5" xfId="1" applyFont="1" applyFill="1" applyBorder="1" applyAlignment="1">
      <alignment horizontal="center" vertical="center" wrapText="1"/>
    </xf>
    <xf numFmtId="0" fontId="59" fillId="54" borderId="5" xfId="1" applyFont="1" applyFill="1" applyBorder="1" applyAlignment="1">
      <alignment horizontal="center" vertical="center" wrapText="1"/>
    </xf>
    <xf numFmtId="165" fontId="60" fillId="55" borderId="5" xfId="1" applyNumberFormat="1" applyFont="1" applyFill="1" applyBorder="1" applyAlignment="1">
      <alignment horizontal="center" vertical="center" wrapText="1"/>
    </xf>
    <xf numFmtId="0" fontId="47" fillId="56" borderId="0" xfId="1" applyFill="1"/>
    <xf numFmtId="0" fontId="61" fillId="52" borderId="1" xfId="1" applyFont="1" applyFill="1" applyBorder="1" applyAlignment="1">
      <alignment horizontal="left" vertical="center"/>
    </xf>
    <xf numFmtId="0" fontId="62" fillId="57" borderId="1" xfId="1" applyFont="1" applyFill="1" applyBorder="1" applyAlignment="1">
      <alignment horizontal="left" vertical="center" wrapText="1"/>
    </xf>
    <xf numFmtId="0" fontId="63" fillId="53" borderId="1" xfId="1" applyFont="1" applyFill="1" applyBorder="1" applyAlignment="1">
      <alignment horizontal="left" vertical="center"/>
    </xf>
    <xf numFmtId="0" fontId="64" fillId="54" borderId="1" xfId="1" applyFont="1" applyFill="1" applyBorder="1" applyAlignment="1">
      <alignment horizontal="left" vertical="center"/>
    </xf>
    <xf numFmtId="0" fontId="32" fillId="59" borderId="1" xfId="1" applyFont="1" applyFill="1" applyBorder="1" applyAlignment="1">
      <alignment horizontal="center" vertical="center" wrapText="1"/>
    </xf>
    <xf numFmtId="0" fontId="52" fillId="54" borderId="1" xfId="1" applyFont="1" applyFill="1" applyBorder="1" applyAlignment="1">
      <alignment horizontal="center" vertical="center" wrapText="1"/>
    </xf>
    <xf numFmtId="0" fontId="52" fillId="54" borderId="1" xfId="1" applyFont="1" applyFill="1" applyBorder="1" applyAlignment="1">
      <alignment horizontal="left" vertical="center"/>
    </xf>
    <xf numFmtId="166" fontId="52" fillId="54" borderId="1" xfId="1" applyNumberFormat="1" applyFont="1" applyFill="1" applyBorder="1" applyAlignment="1">
      <alignment horizontal="right" vertical="center"/>
    </xf>
    <xf numFmtId="0" fontId="65" fillId="54" borderId="1" xfId="1" applyFont="1" applyFill="1" applyBorder="1" applyAlignment="1">
      <alignment horizontal="left" vertical="center" wrapText="1"/>
    </xf>
    <xf numFmtId="0" fontId="47" fillId="54" borderId="1" xfId="1" applyFill="1" applyBorder="1"/>
    <xf numFmtId="0" fontId="52" fillId="60" borderId="1" xfId="1" applyFont="1" applyFill="1" applyBorder="1" applyAlignment="1">
      <alignment horizontal="center" vertical="center" wrapText="1"/>
    </xf>
    <xf numFmtId="0" fontId="52" fillId="60" borderId="1" xfId="1" applyFont="1" applyFill="1" applyBorder="1" applyAlignment="1">
      <alignment horizontal="left" vertical="center"/>
    </xf>
    <xf numFmtId="166" fontId="52" fillId="60" borderId="1" xfId="1" applyNumberFormat="1" applyFont="1" applyFill="1" applyBorder="1" applyAlignment="1">
      <alignment horizontal="right" vertical="center"/>
    </xf>
    <xf numFmtId="0" fontId="65" fillId="60" borderId="1" xfId="1" applyFont="1" applyFill="1" applyBorder="1" applyAlignment="1">
      <alignment horizontal="left" vertical="center" wrapText="1"/>
    </xf>
    <xf numFmtId="0" fontId="47" fillId="60" borderId="1" xfId="1" applyFill="1" applyBorder="1"/>
    <xf numFmtId="0" fontId="66" fillId="61" borderId="5" xfId="1" applyFont="1" applyFill="1" applyBorder="1" applyAlignment="1">
      <alignment horizontal="right" vertical="center"/>
    </xf>
    <xf numFmtId="166" fontId="66" fillId="61" borderId="5" xfId="1" applyNumberFormat="1" applyFont="1" applyFill="1" applyBorder="1" applyAlignment="1">
      <alignment horizontal="right" vertical="center"/>
    </xf>
    <xf numFmtId="0" fontId="32" fillId="62" borderId="1" xfId="1" applyFont="1" applyFill="1" applyBorder="1" applyAlignment="1">
      <alignment horizontal="center" vertical="center" wrapText="1"/>
    </xf>
    <xf numFmtId="0" fontId="67" fillId="53" borderId="1" xfId="1" applyFont="1" applyFill="1" applyBorder="1" applyAlignment="1">
      <alignment horizontal="center" vertical="center" wrapText="1"/>
    </xf>
    <xf numFmtId="0" fontId="67" fillId="53" borderId="1" xfId="1" applyFont="1" applyFill="1" applyBorder="1" applyAlignment="1">
      <alignment horizontal="left" vertical="center"/>
    </xf>
    <xf numFmtId="166" fontId="67" fillId="53" borderId="1" xfId="1" applyNumberFormat="1" applyFont="1" applyFill="1" applyBorder="1" applyAlignment="1">
      <alignment horizontal="right" vertical="center"/>
    </xf>
    <xf numFmtId="0" fontId="67" fillId="53" borderId="1" xfId="1" applyFont="1" applyFill="1" applyBorder="1" applyAlignment="1">
      <alignment horizontal="left" vertical="center" wrapText="1"/>
    </xf>
    <xf numFmtId="0" fontId="67" fillId="63" borderId="1" xfId="1" applyFont="1" applyFill="1" applyBorder="1" applyAlignment="1">
      <alignment horizontal="center" vertical="center" wrapText="1"/>
    </xf>
    <xf numFmtId="0" fontId="67" fillId="63" borderId="1" xfId="1" applyFont="1" applyFill="1" applyBorder="1" applyAlignment="1">
      <alignment horizontal="left" vertical="center"/>
    </xf>
    <xf numFmtId="166" fontId="67" fillId="63" borderId="1" xfId="1" applyNumberFormat="1" applyFont="1" applyFill="1" applyBorder="1" applyAlignment="1">
      <alignment horizontal="right" vertical="center"/>
    </xf>
    <xf numFmtId="0" fontId="67" fillId="63" borderId="1" xfId="1" applyFont="1" applyFill="1" applyBorder="1" applyAlignment="1">
      <alignment horizontal="left" vertical="center" wrapText="1"/>
    </xf>
    <xf numFmtId="0" fontId="68" fillId="64" borderId="5" xfId="1" applyFont="1" applyFill="1" applyBorder="1" applyAlignment="1">
      <alignment horizontal="right" vertical="center"/>
    </xf>
    <xf numFmtId="166" fontId="68" fillId="64" borderId="5" xfId="1" applyNumberFormat="1" applyFont="1" applyFill="1" applyBorder="1" applyAlignment="1">
      <alignment horizontal="right" vertical="center"/>
    </xf>
    <xf numFmtId="0" fontId="32" fillId="49" borderId="1" xfId="1" applyFont="1" applyFill="1" applyBorder="1" applyAlignment="1">
      <alignment horizontal="center" vertical="center" wrapText="1"/>
    </xf>
    <xf numFmtId="0" fontId="69" fillId="65" borderId="1" xfId="1" applyFont="1" applyFill="1" applyBorder="1" applyAlignment="1">
      <alignment horizontal="left" vertical="center"/>
    </xf>
    <xf numFmtId="0" fontId="70" fillId="65" borderId="1" xfId="1" applyFont="1" applyFill="1" applyBorder="1" applyAlignment="1">
      <alignment horizontal="center" vertical="center" wrapText="1"/>
    </xf>
    <xf numFmtId="165" fontId="70" fillId="65" borderId="1" xfId="1" applyNumberFormat="1" applyFont="1" applyFill="1" applyBorder="1" applyAlignment="1">
      <alignment horizontal="right" vertical="center"/>
    </xf>
    <xf numFmtId="0" fontId="50" fillId="54" borderId="1" xfId="1" applyFont="1" applyFill="1" applyBorder="1" applyAlignment="1">
      <alignment horizontal="center" vertical="center" wrapText="1"/>
    </xf>
    <xf numFmtId="165" fontId="52" fillId="54" borderId="1" xfId="1" applyNumberFormat="1" applyFont="1" applyFill="1" applyBorder="1" applyAlignment="1">
      <alignment horizontal="right" vertical="center"/>
    </xf>
    <xf numFmtId="0" fontId="47" fillId="65" borderId="1" xfId="1" applyFill="1" applyBorder="1"/>
    <xf numFmtId="0" fontId="69" fillId="66" borderId="1" xfId="1" applyFont="1" applyFill="1" applyBorder="1" applyAlignment="1">
      <alignment horizontal="left" vertical="center"/>
    </xf>
    <xf numFmtId="0" fontId="47" fillId="66" borderId="1" xfId="1" applyFill="1" applyBorder="1"/>
    <xf numFmtId="0" fontId="71" fillId="67" borderId="5" xfId="1" applyFont="1" applyFill="1" applyBorder="1" applyAlignment="1">
      <alignment horizontal="left" vertical="center"/>
    </xf>
    <xf numFmtId="0" fontId="71" fillId="67" borderId="5" xfId="1" applyFont="1" applyFill="1" applyBorder="1" applyAlignment="1">
      <alignment horizontal="right" vertical="center"/>
    </xf>
    <xf numFmtId="166" fontId="71" fillId="67" borderId="5" xfId="1" applyNumberFormat="1" applyFont="1" applyFill="1" applyBorder="1" applyAlignment="1">
      <alignment horizontal="right" vertical="center"/>
    </xf>
    <xf numFmtId="0" fontId="32" fillId="69" borderId="1" xfId="1" applyFont="1" applyFill="1" applyBorder="1" applyAlignment="1">
      <alignment horizontal="center" vertical="center" wrapText="1"/>
    </xf>
    <xf numFmtId="0" fontId="55" fillId="71" borderId="1" xfId="1" applyFont="1" applyFill="1" applyBorder="1" applyAlignment="1">
      <alignment horizontal="center" vertical="center" wrapText="1"/>
    </xf>
    <xf numFmtId="3" fontId="72" fillId="72" borderId="5" xfId="1" applyNumberFormat="1" applyFont="1" applyFill="1" applyBorder="1" applyAlignment="1">
      <alignment horizontal="center" vertical="center" wrapText="1"/>
    </xf>
    <xf numFmtId="0" fontId="73" fillId="73" borderId="5" xfId="1" applyFont="1" applyFill="1" applyBorder="1" applyAlignment="1">
      <alignment horizontal="center" vertical="center" wrapText="1"/>
    </xf>
    <xf numFmtId="0" fontId="74" fillId="74" borderId="5" xfId="1" applyFont="1" applyFill="1" applyBorder="1" applyAlignment="1">
      <alignment horizontal="center" vertical="center" wrapText="1"/>
    </xf>
    <xf numFmtId="3" fontId="75" fillId="75" borderId="5" xfId="1" applyNumberFormat="1" applyFont="1" applyFill="1" applyBorder="1" applyAlignment="1">
      <alignment horizontal="center" vertical="center" wrapText="1"/>
    </xf>
    <xf numFmtId="3" fontId="76" fillId="76" borderId="5" xfId="1" applyNumberFormat="1" applyFont="1" applyFill="1" applyBorder="1" applyAlignment="1">
      <alignment horizontal="center" vertical="center" wrapText="1"/>
    </xf>
    <xf numFmtId="3" fontId="77" fillId="77" borderId="5" xfId="1" applyNumberFormat="1" applyFont="1" applyFill="1" applyBorder="1" applyAlignment="1">
      <alignment horizontal="center" vertical="center" wrapText="1"/>
    </xf>
    <xf numFmtId="3" fontId="78" fillId="78" borderId="5" xfId="1" applyNumberFormat="1" applyFont="1" applyFill="1" applyBorder="1" applyAlignment="1">
      <alignment horizontal="center" vertical="center" wrapText="1"/>
    </xf>
    <xf numFmtId="0" fontId="79" fillId="79" borderId="5" xfId="1" applyFont="1" applyFill="1" applyBorder="1" applyAlignment="1">
      <alignment horizontal="center" vertical="center" wrapText="1"/>
    </xf>
    <xf numFmtId="0" fontId="32" fillId="80" borderId="1" xfId="1" applyFont="1" applyFill="1" applyBorder="1" applyAlignment="1">
      <alignment horizontal="center" vertical="center" wrapText="1"/>
    </xf>
    <xf numFmtId="0" fontId="68" fillId="75" borderId="1" xfId="1" applyFont="1" applyFill="1" applyBorder="1" applyAlignment="1">
      <alignment horizontal="left" vertical="center"/>
    </xf>
    <xf numFmtId="0" fontId="80" fillId="75" borderId="1" xfId="1" applyFont="1" applyFill="1" applyBorder="1" applyAlignment="1">
      <alignment horizontal="center" vertical="center" wrapText="1"/>
    </xf>
    <xf numFmtId="3" fontId="68" fillId="75" borderId="1" xfId="1" applyNumberFormat="1" applyFont="1" applyFill="1" applyBorder="1" applyAlignment="1">
      <alignment horizontal="right" vertical="center"/>
    </xf>
    <xf numFmtId="3" fontId="80" fillId="75" borderId="1" xfId="1" applyNumberFormat="1" applyFont="1" applyFill="1" applyBorder="1" applyAlignment="1">
      <alignment horizontal="right" vertical="center"/>
    </xf>
    <xf numFmtId="167" fontId="66" fillId="81" borderId="1" xfId="1" applyNumberFormat="1" applyFont="1" applyFill="1" applyBorder="1" applyAlignment="1">
      <alignment horizontal="center" vertical="center" wrapText="1"/>
    </xf>
    <xf numFmtId="0" fontId="81" fillId="74" borderId="1" xfId="1" applyFont="1" applyFill="1" applyBorder="1" applyAlignment="1">
      <alignment horizontal="left" vertical="center"/>
    </xf>
    <xf numFmtId="0" fontId="82" fillId="74" borderId="1" xfId="1" applyFont="1" applyFill="1" applyBorder="1" applyAlignment="1">
      <alignment horizontal="center" vertical="center" wrapText="1"/>
    </xf>
    <xf numFmtId="3" fontId="81" fillId="74" borderId="1" xfId="1" applyNumberFormat="1" applyFont="1" applyFill="1" applyBorder="1" applyAlignment="1">
      <alignment horizontal="right" vertical="center"/>
    </xf>
    <xf numFmtId="3" fontId="82" fillId="74" borderId="1" xfId="1" applyNumberFormat="1" applyFont="1" applyFill="1" applyBorder="1" applyAlignment="1">
      <alignment horizontal="right" vertical="center"/>
    </xf>
    <xf numFmtId="167" fontId="66" fillId="82" borderId="1" xfId="1" applyNumberFormat="1" applyFont="1" applyFill="1" applyBorder="1" applyAlignment="1">
      <alignment horizontal="center" vertical="center" wrapText="1"/>
    </xf>
    <xf numFmtId="0" fontId="83" fillId="72" borderId="1" xfId="1" applyFont="1" applyFill="1" applyBorder="1" applyAlignment="1">
      <alignment horizontal="left" vertical="center"/>
    </xf>
    <xf numFmtId="0" fontId="84" fillId="72" borderId="1" xfId="1" applyFont="1" applyFill="1" applyBorder="1" applyAlignment="1">
      <alignment horizontal="center" vertical="center" wrapText="1"/>
    </xf>
    <xf numFmtId="3" fontId="83" fillId="72" borderId="1" xfId="1" applyNumberFormat="1" applyFont="1" applyFill="1" applyBorder="1" applyAlignment="1">
      <alignment horizontal="right" vertical="center"/>
    </xf>
    <xf numFmtId="3" fontId="84" fillId="72" borderId="1" xfId="1" applyNumberFormat="1" applyFont="1" applyFill="1" applyBorder="1" applyAlignment="1">
      <alignment horizontal="right" vertical="center"/>
    </xf>
    <xf numFmtId="167" fontId="69" fillId="83" borderId="1" xfId="1" applyNumberFormat="1" applyFont="1" applyFill="1" applyBorder="1" applyAlignment="1">
      <alignment horizontal="center" vertical="center" wrapText="1"/>
    </xf>
    <xf numFmtId="0" fontId="85" fillId="73" borderId="1" xfId="1" applyFont="1" applyFill="1" applyBorder="1" applyAlignment="1">
      <alignment horizontal="left" vertical="center"/>
    </xf>
    <xf numFmtId="0" fontId="86" fillId="73" borderId="1" xfId="1" applyFont="1" applyFill="1" applyBorder="1" applyAlignment="1">
      <alignment horizontal="center" vertical="center" wrapText="1"/>
    </xf>
    <xf numFmtId="3" fontId="85" fillId="73" borderId="1" xfId="1" applyNumberFormat="1" applyFont="1" applyFill="1" applyBorder="1" applyAlignment="1">
      <alignment horizontal="right" vertical="center"/>
    </xf>
    <xf numFmtId="3" fontId="86" fillId="73" borderId="1" xfId="1" applyNumberFormat="1" applyFont="1" applyFill="1" applyBorder="1" applyAlignment="1">
      <alignment horizontal="right" vertical="center"/>
    </xf>
    <xf numFmtId="0" fontId="87" fillId="76" borderId="1" xfId="1" applyFont="1" applyFill="1" applyBorder="1" applyAlignment="1">
      <alignment horizontal="left" vertical="center"/>
    </xf>
    <xf numFmtId="0" fontId="88" fillId="76" borderId="1" xfId="1" applyFont="1" applyFill="1" applyBorder="1" applyAlignment="1">
      <alignment horizontal="center" vertical="center" wrapText="1"/>
    </xf>
    <xf numFmtId="3" fontId="87" fillId="76" borderId="1" xfId="1" applyNumberFormat="1" applyFont="1" applyFill="1" applyBorder="1" applyAlignment="1">
      <alignment horizontal="right" vertical="center"/>
    </xf>
    <xf numFmtId="3" fontId="88" fillId="76" borderId="1" xfId="1" applyNumberFormat="1" applyFont="1" applyFill="1" applyBorder="1" applyAlignment="1">
      <alignment horizontal="right" vertical="center"/>
    </xf>
    <xf numFmtId="0" fontId="32" fillId="80" borderId="5" xfId="1" applyFont="1" applyFill="1" applyBorder="1" applyAlignment="1">
      <alignment horizontal="left" vertical="center"/>
    </xf>
    <xf numFmtId="0" fontId="32" fillId="80" borderId="5" xfId="1" applyFont="1" applyFill="1" applyBorder="1" applyAlignment="1">
      <alignment horizontal="center" vertical="center" wrapText="1"/>
    </xf>
    <xf numFmtId="3" fontId="32" fillId="80" borderId="5" xfId="1" applyNumberFormat="1" applyFont="1" applyFill="1" applyBorder="1" applyAlignment="1">
      <alignment horizontal="right" vertical="center"/>
    </xf>
    <xf numFmtId="0" fontId="32" fillId="80" borderId="5" xfId="1" applyFont="1" applyFill="1" applyBorder="1" applyAlignment="1">
      <alignment horizontal="right" vertical="center"/>
    </xf>
    <xf numFmtId="167" fontId="32" fillId="80" borderId="5" xfId="1" applyNumberFormat="1" applyFont="1" applyFill="1" applyBorder="1" applyAlignment="1">
      <alignment horizontal="right" vertical="center"/>
    </xf>
    <xf numFmtId="0" fontId="32" fillId="70" borderId="1" xfId="1" applyFont="1" applyFill="1" applyBorder="1" applyAlignment="1">
      <alignment horizontal="center" vertical="center" wrapText="1"/>
    </xf>
    <xf numFmtId="0" fontId="47" fillId="75" borderId="1" xfId="1" applyFill="1" applyBorder="1"/>
    <xf numFmtId="0" fontId="47" fillId="74" borderId="1" xfId="1" applyFill="1" applyBorder="1"/>
    <xf numFmtId="0" fontId="47" fillId="72" borderId="1" xfId="1" applyFill="1" applyBorder="1"/>
    <xf numFmtId="0" fontId="47" fillId="73" borderId="1" xfId="1" applyFill="1" applyBorder="1"/>
    <xf numFmtId="0" fontId="88" fillId="76" borderId="1" xfId="1" applyFont="1" applyFill="1" applyBorder="1" applyAlignment="1">
      <alignment horizontal="right" vertical="center"/>
    </xf>
    <xf numFmtId="0" fontId="47" fillId="76" borderId="1" xfId="1" applyFill="1" applyBorder="1"/>
    <xf numFmtId="0" fontId="32" fillId="70" borderId="5" xfId="1" applyFont="1" applyFill="1" applyBorder="1" applyAlignment="1">
      <alignment horizontal="left" vertical="center"/>
    </xf>
    <xf numFmtId="3" fontId="32" fillId="70" borderId="5" xfId="1" applyNumberFormat="1" applyFont="1" applyFill="1" applyBorder="1" applyAlignment="1">
      <alignment horizontal="right" vertical="center"/>
    </xf>
    <xf numFmtId="0" fontId="32" fillId="70" borderId="5" xfId="1" applyFont="1" applyFill="1" applyBorder="1" applyAlignment="1">
      <alignment horizontal="right" vertical="center"/>
    </xf>
    <xf numFmtId="0" fontId="83" fillId="72" borderId="1" xfId="1" applyFont="1" applyFill="1" applyBorder="1" applyAlignment="1">
      <alignment horizontal="center" vertical="center" wrapText="1"/>
    </xf>
    <xf numFmtId="0" fontId="84" fillId="72" borderId="1" xfId="1" applyFont="1" applyFill="1" applyBorder="1" applyAlignment="1">
      <alignment horizontal="left" vertical="center"/>
    </xf>
    <xf numFmtId="10" fontId="84" fillId="72" borderId="1" xfId="1" applyNumberFormat="1" applyFont="1" applyFill="1" applyBorder="1" applyAlignment="1">
      <alignment horizontal="center" vertical="center" wrapText="1"/>
    </xf>
    <xf numFmtId="0" fontId="68" fillId="75" borderId="1" xfId="1" applyFont="1" applyFill="1" applyBorder="1" applyAlignment="1">
      <alignment horizontal="center" vertical="center" wrapText="1"/>
    </xf>
    <xf numFmtId="0" fontId="80" fillId="75" borderId="1" xfId="1" applyFont="1" applyFill="1" applyBorder="1" applyAlignment="1">
      <alignment horizontal="left" vertical="center"/>
    </xf>
    <xf numFmtId="10" fontId="80" fillId="75" borderId="1" xfId="1" applyNumberFormat="1" applyFont="1" applyFill="1" applyBorder="1" applyAlignment="1">
      <alignment horizontal="center" vertical="center" wrapText="1"/>
    </xf>
    <xf numFmtId="0" fontId="81" fillId="74" borderId="1" xfId="1" applyFont="1" applyFill="1" applyBorder="1" applyAlignment="1">
      <alignment horizontal="center" vertical="center" wrapText="1"/>
    </xf>
    <xf numFmtId="0" fontId="82" fillId="74" borderId="1" xfId="1" applyFont="1" applyFill="1" applyBorder="1" applyAlignment="1">
      <alignment horizontal="left" vertical="center"/>
    </xf>
    <xf numFmtId="10" fontId="82" fillId="74" borderId="1" xfId="1" applyNumberFormat="1" applyFont="1" applyFill="1" applyBorder="1" applyAlignment="1">
      <alignment horizontal="center" vertical="center" wrapText="1"/>
    </xf>
    <xf numFmtId="0" fontId="87" fillId="76" borderId="1" xfId="1" applyFont="1" applyFill="1" applyBorder="1" applyAlignment="1">
      <alignment horizontal="center" vertical="center" wrapText="1"/>
    </xf>
    <xf numFmtId="0" fontId="88" fillId="76" borderId="1" xfId="1" applyFont="1" applyFill="1" applyBorder="1" applyAlignment="1">
      <alignment horizontal="left" vertical="center"/>
    </xf>
    <xf numFmtId="10" fontId="88" fillId="76" borderId="1" xfId="1" applyNumberFormat="1" applyFont="1" applyFill="1" applyBorder="1" applyAlignment="1">
      <alignment horizontal="center" vertical="center" wrapText="1"/>
    </xf>
    <xf numFmtId="0" fontId="63" fillId="75" borderId="1" xfId="1" applyFont="1" applyFill="1" applyBorder="1" applyAlignment="1">
      <alignment horizontal="left" vertical="center"/>
    </xf>
    <xf numFmtId="0" fontId="89" fillId="74" borderId="1" xfId="1" applyFont="1" applyFill="1" applyBorder="1" applyAlignment="1">
      <alignment horizontal="left" vertical="center"/>
    </xf>
    <xf numFmtId="0" fontId="90" fillId="72" borderId="1" xfId="1" applyFont="1" applyFill="1" applyBorder="1" applyAlignment="1">
      <alignment horizontal="left" vertical="center"/>
    </xf>
    <xf numFmtId="0" fontId="61" fillId="73" borderId="1" xfId="1" applyFont="1" applyFill="1" applyBorder="1" applyAlignment="1">
      <alignment horizontal="left" vertical="center"/>
    </xf>
    <xf numFmtId="0" fontId="91" fillId="76" borderId="1" xfId="1" applyFont="1" applyFill="1" applyBorder="1" applyAlignment="1">
      <alignment horizontal="left" vertical="center"/>
    </xf>
    <xf numFmtId="0" fontId="92" fillId="0" borderId="0" xfId="1" applyFont="1" applyAlignment="1">
      <alignment horizontal="left" vertical="center"/>
    </xf>
    <xf numFmtId="0" fontId="93" fillId="81" borderId="1" xfId="1" applyFont="1" applyFill="1" applyBorder="1" applyAlignment="1">
      <alignment horizontal="center" vertical="center" wrapText="1"/>
    </xf>
    <xf numFmtId="0" fontId="94" fillId="82" borderId="1" xfId="1" applyFont="1" applyFill="1" applyBorder="1" applyAlignment="1">
      <alignment horizontal="center" vertical="center" wrapText="1"/>
    </xf>
    <xf numFmtId="0" fontId="94" fillId="84" borderId="1" xfId="1" applyFont="1" applyFill="1" applyBorder="1" applyAlignment="1">
      <alignment horizontal="center" vertical="center" wrapText="1"/>
    </xf>
    <xf numFmtId="0" fontId="94" fillId="83" borderId="1" xfId="1" applyFont="1" applyFill="1" applyBorder="1" applyAlignment="1">
      <alignment horizontal="center" vertical="center" wrapText="1"/>
    </xf>
    <xf numFmtId="0" fontId="94" fillId="85" borderId="1" xfId="1" applyFont="1" applyFill="1" applyBorder="1" applyAlignment="1">
      <alignment horizontal="center" vertical="center" wrapText="1"/>
    </xf>
    <xf numFmtId="0" fontId="47" fillId="88" borderId="0" xfId="1" applyFill="1"/>
    <xf numFmtId="0" fontId="55" fillId="90" borderId="1" xfId="1" applyFont="1" applyFill="1" applyBorder="1" applyAlignment="1">
      <alignment horizontal="center" vertical="center" wrapText="1"/>
    </xf>
    <xf numFmtId="3" fontId="96" fillId="91" borderId="5" xfId="1" applyNumberFormat="1" applyFont="1" applyFill="1" applyBorder="1" applyAlignment="1">
      <alignment horizontal="center" vertical="center" wrapText="1"/>
    </xf>
    <xf numFmtId="3" fontId="97" fillId="92" borderId="5" xfId="1" applyNumberFormat="1" applyFont="1" applyFill="1" applyBorder="1" applyAlignment="1">
      <alignment horizontal="center" vertical="center" wrapText="1"/>
    </xf>
    <xf numFmtId="0" fontId="98" fillId="93" borderId="5" xfId="1" applyFont="1" applyFill="1" applyBorder="1" applyAlignment="1">
      <alignment horizontal="center" vertical="center" wrapText="1"/>
    </xf>
    <xf numFmtId="3" fontId="74" fillId="94" borderId="5" xfId="1" applyNumberFormat="1" applyFont="1" applyFill="1" applyBorder="1" applyAlignment="1">
      <alignment horizontal="center" vertical="center" wrapText="1"/>
    </xf>
    <xf numFmtId="0" fontId="73" fillId="95" borderId="5" xfId="1" applyFont="1" applyFill="1" applyBorder="1" applyAlignment="1">
      <alignment horizontal="center" vertical="center" wrapText="1"/>
    </xf>
    <xf numFmtId="0" fontId="75" fillId="96" borderId="5" xfId="1" applyFont="1" applyFill="1" applyBorder="1" applyAlignment="1">
      <alignment horizontal="center" vertical="center" wrapText="1"/>
    </xf>
    <xf numFmtId="3" fontId="72" fillId="97" borderId="5" xfId="1" applyNumberFormat="1" applyFont="1" applyFill="1" applyBorder="1" applyAlignment="1">
      <alignment horizontal="center" vertical="center" wrapText="1"/>
    </xf>
    <xf numFmtId="3" fontId="76" fillId="98" borderId="5" xfId="1" applyNumberFormat="1" applyFont="1" applyFill="1" applyBorder="1" applyAlignment="1">
      <alignment horizontal="center" vertical="center" wrapText="1"/>
    </xf>
    <xf numFmtId="0" fontId="99" fillId="99" borderId="5" xfId="1" applyFont="1" applyFill="1" applyBorder="1" applyAlignment="1">
      <alignment horizontal="center" vertical="center" wrapText="1"/>
    </xf>
    <xf numFmtId="0" fontId="32" fillId="89" borderId="1" xfId="1" applyFont="1" applyFill="1" applyBorder="1" applyAlignment="1">
      <alignment horizontal="center" vertical="center" wrapText="1"/>
    </xf>
    <xf numFmtId="0" fontId="100" fillId="91" borderId="1" xfId="1" applyFont="1" applyFill="1" applyBorder="1" applyAlignment="1">
      <alignment horizontal="left" vertical="center"/>
    </xf>
    <xf numFmtId="0" fontId="101" fillId="91" borderId="1" xfId="1" applyFont="1" applyFill="1" applyBorder="1" applyAlignment="1">
      <alignment horizontal="center" vertical="center" wrapText="1"/>
    </xf>
    <xf numFmtId="3" fontId="69" fillId="81" borderId="1" xfId="1" applyNumberFormat="1" applyFont="1" applyFill="1" applyBorder="1" applyAlignment="1">
      <alignment horizontal="right" vertical="center"/>
    </xf>
    <xf numFmtId="3" fontId="101" fillId="91" borderId="1" xfId="1" applyNumberFormat="1" applyFont="1" applyFill="1" applyBorder="1" applyAlignment="1">
      <alignment horizontal="right" vertical="center"/>
    </xf>
    <xf numFmtId="0" fontId="102" fillId="93" borderId="1" xfId="1" applyFont="1" applyFill="1" applyBorder="1" applyAlignment="1">
      <alignment horizontal="center" vertical="center" wrapText="1"/>
    </xf>
    <xf numFmtId="0" fontId="103" fillId="92" borderId="1" xfId="1" applyFont="1" applyFill="1" applyBorder="1" applyAlignment="1">
      <alignment horizontal="left" vertical="center"/>
    </xf>
    <xf numFmtId="0" fontId="104" fillId="92" borderId="1" xfId="1" applyFont="1" applyFill="1" applyBorder="1" applyAlignment="1">
      <alignment horizontal="center" vertical="center" wrapText="1"/>
    </xf>
    <xf numFmtId="3" fontId="69" fillId="100" borderId="1" xfId="1" applyNumberFormat="1" applyFont="1" applyFill="1" applyBorder="1" applyAlignment="1">
      <alignment horizontal="right" vertical="center"/>
    </xf>
    <xf numFmtId="3" fontId="104" fillId="92" borderId="1" xfId="1" applyNumberFormat="1" applyFont="1" applyFill="1" applyBorder="1" applyAlignment="1">
      <alignment horizontal="right" vertical="center"/>
    </xf>
    <xf numFmtId="0" fontId="66" fillId="101" borderId="1" xfId="1" applyFont="1" applyFill="1" applyBorder="1" applyAlignment="1">
      <alignment horizontal="center" vertical="center" wrapText="1"/>
    </xf>
    <xf numFmtId="0" fontId="32" fillId="87" borderId="5" xfId="1" applyFont="1" applyFill="1" applyBorder="1" applyAlignment="1">
      <alignment horizontal="left" vertical="center"/>
    </xf>
    <xf numFmtId="0" fontId="32" fillId="87" borderId="5" xfId="1" applyFont="1" applyFill="1" applyBorder="1" applyAlignment="1">
      <alignment horizontal="center" vertical="center" wrapText="1"/>
    </xf>
    <xf numFmtId="3" fontId="32" fillId="87" borderId="5" xfId="1" applyNumberFormat="1" applyFont="1" applyFill="1" applyBorder="1" applyAlignment="1">
      <alignment horizontal="right" vertical="center"/>
    </xf>
    <xf numFmtId="0" fontId="32" fillId="87" borderId="5" xfId="1" applyFont="1" applyFill="1" applyBorder="1" applyAlignment="1">
      <alignment horizontal="right" vertical="center"/>
    </xf>
    <xf numFmtId="0" fontId="102" fillId="93" borderId="1" xfId="1" applyFont="1" applyFill="1" applyBorder="1" applyAlignment="1">
      <alignment horizontal="left" vertical="center"/>
    </xf>
    <xf numFmtId="3" fontId="67" fillId="93" borderId="1" xfId="1" applyNumberFormat="1" applyFont="1" applyFill="1" applyBorder="1" applyAlignment="1">
      <alignment horizontal="right" vertical="center"/>
    </xf>
    <xf numFmtId="167" fontId="102" fillId="93" borderId="1" xfId="1" applyNumberFormat="1" applyFont="1" applyFill="1" applyBorder="1" applyAlignment="1">
      <alignment horizontal="center" vertical="center" wrapText="1"/>
    </xf>
    <xf numFmtId="0" fontId="67" fillId="93" borderId="1" xfId="1" applyFont="1" applyFill="1" applyBorder="1" applyAlignment="1">
      <alignment horizontal="center" vertical="center" wrapText="1"/>
    </xf>
    <xf numFmtId="0" fontId="47" fillId="93" borderId="0" xfId="1" applyFill="1"/>
    <xf numFmtId="0" fontId="37" fillId="62" borderId="1" xfId="1" applyFont="1" applyFill="1" applyBorder="1" applyAlignment="1">
      <alignment horizontal="center" vertical="center" wrapText="1"/>
    </xf>
    <xf numFmtId="0" fontId="81" fillId="94" borderId="1" xfId="1" applyFont="1" applyFill="1" applyBorder="1" applyAlignment="1">
      <alignment horizontal="left" vertical="center"/>
    </xf>
    <xf numFmtId="3" fontId="82" fillId="94" borderId="1" xfId="1" applyNumberFormat="1" applyFont="1" applyFill="1" applyBorder="1" applyAlignment="1">
      <alignment horizontal="right" vertical="center"/>
    </xf>
    <xf numFmtId="3" fontId="69" fillId="102" borderId="1" xfId="1" applyNumberFormat="1" applyFont="1" applyFill="1" applyBorder="1" applyAlignment="1">
      <alignment horizontal="right" vertical="center"/>
    </xf>
    <xf numFmtId="167" fontId="81" fillId="94" borderId="1" xfId="1" applyNumberFormat="1" applyFont="1" applyFill="1" applyBorder="1" applyAlignment="1">
      <alignment horizontal="center" vertical="center" wrapText="1"/>
    </xf>
    <xf numFmtId="0" fontId="82" fillId="94" borderId="1" xfId="1" applyFont="1" applyFill="1" applyBorder="1" applyAlignment="1">
      <alignment horizontal="center" vertical="center" wrapText="1"/>
    </xf>
    <xf numFmtId="0" fontId="83" fillId="103" borderId="1" xfId="1" applyFont="1" applyFill="1" applyBorder="1" applyAlignment="1">
      <alignment horizontal="left" vertical="center"/>
    </xf>
    <xf numFmtId="3" fontId="84" fillId="103" borderId="1" xfId="1" applyNumberFormat="1" applyFont="1" applyFill="1" applyBorder="1" applyAlignment="1">
      <alignment horizontal="right" vertical="center"/>
    </xf>
    <xf numFmtId="167" fontId="83" fillId="97" borderId="1" xfId="1" applyNumberFormat="1" applyFont="1" applyFill="1" applyBorder="1" applyAlignment="1">
      <alignment horizontal="center" vertical="center" wrapText="1"/>
    </xf>
    <xf numFmtId="0" fontId="84" fillId="97" borderId="1" xfId="1" applyFont="1" applyFill="1" applyBorder="1" applyAlignment="1">
      <alignment horizontal="center" vertical="center" wrapText="1"/>
    </xf>
    <xf numFmtId="0" fontId="85" fillId="95" borderId="1" xfId="1" applyFont="1" applyFill="1" applyBorder="1" applyAlignment="1">
      <alignment horizontal="left" vertical="center"/>
    </xf>
    <xf numFmtId="3" fontId="86" fillId="95" borderId="1" xfId="1" applyNumberFormat="1" applyFont="1" applyFill="1" applyBorder="1" applyAlignment="1">
      <alignment horizontal="right" vertical="center"/>
    </xf>
    <xf numFmtId="167" fontId="85" fillId="95" borderId="1" xfId="1" applyNumberFormat="1" applyFont="1" applyFill="1" applyBorder="1" applyAlignment="1">
      <alignment horizontal="center" vertical="center" wrapText="1"/>
    </xf>
    <xf numFmtId="0" fontId="86" fillId="95" borderId="1" xfId="1" applyFont="1" applyFill="1" applyBorder="1" applyAlignment="1">
      <alignment horizontal="center" vertical="center" wrapText="1"/>
    </xf>
    <xf numFmtId="0" fontId="87" fillId="104" borderId="1" xfId="1" applyFont="1" applyFill="1" applyBorder="1" applyAlignment="1">
      <alignment horizontal="left" vertical="center"/>
    </xf>
    <xf numFmtId="3" fontId="87" fillId="104" borderId="1" xfId="1" applyNumberFormat="1" applyFont="1" applyFill="1" applyBorder="1" applyAlignment="1">
      <alignment horizontal="right" vertical="center"/>
    </xf>
    <xf numFmtId="0" fontId="88" fillId="104" borderId="1" xfId="1" applyFont="1" applyFill="1" applyBorder="1" applyAlignment="1">
      <alignment horizontal="right" vertical="center"/>
    </xf>
    <xf numFmtId="167" fontId="87" fillId="98" borderId="1" xfId="1" applyNumberFormat="1" applyFont="1" applyFill="1" applyBorder="1" applyAlignment="1">
      <alignment horizontal="center" vertical="center" wrapText="1"/>
    </xf>
    <xf numFmtId="0" fontId="88" fillId="98" borderId="1" xfId="1" applyFont="1" applyFill="1" applyBorder="1" applyAlignment="1">
      <alignment horizontal="center" vertical="center" wrapText="1"/>
    </xf>
    <xf numFmtId="167" fontId="32" fillId="70" borderId="5" xfId="1" applyNumberFormat="1" applyFont="1" applyFill="1" applyBorder="1" applyAlignment="1">
      <alignment horizontal="right" vertical="center"/>
    </xf>
    <xf numFmtId="0" fontId="67" fillId="106" borderId="1" xfId="1" applyFont="1" applyFill="1" applyBorder="1" applyAlignment="1">
      <alignment horizontal="center" vertical="center" wrapText="1"/>
    </xf>
    <xf numFmtId="0" fontId="67" fillId="106" borderId="1" xfId="1" applyFont="1" applyFill="1" applyBorder="1" applyAlignment="1">
      <alignment horizontal="left" vertical="center"/>
    </xf>
    <xf numFmtId="167" fontId="67" fillId="106" borderId="1" xfId="1" applyNumberFormat="1" applyFont="1" applyFill="1" applyBorder="1" applyAlignment="1">
      <alignment horizontal="center" vertical="center" wrapText="1"/>
    </xf>
    <xf numFmtId="3" fontId="67" fillId="106" borderId="1" xfId="1" applyNumberFormat="1" applyFont="1" applyFill="1" applyBorder="1" applyAlignment="1">
      <alignment horizontal="right" vertical="center"/>
    </xf>
    <xf numFmtId="0" fontId="88" fillId="98" borderId="1" xfId="1" applyFont="1" applyFill="1" applyBorder="1" applyAlignment="1">
      <alignment horizontal="left" vertical="center"/>
    </xf>
    <xf numFmtId="3" fontId="69" fillId="107" borderId="1" xfId="1" applyNumberFormat="1" applyFont="1" applyFill="1" applyBorder="1" applyAlignment="1">
      <alignment horizontal="right" vertical="center"/>
    </xf>
    <xf numFmtId="167" fontId="88" fillId="98" borderId="1" xfId="1" applyNumberFormat="1" applyFont="1" applyFill="1" applyBorder="1" applyAlignment="1">
      <alignment horizontal="center" vertical="center" wrapText="1"/>
    </xf>
    <xf numFmtId="3" fontId="88" fillId="98" borderId="1" xfId="1" applyNumberFormat="1" applyFont="1" applyFill="1" applyBorder="1" applyAlignment="1">
      <alignment horizontal="right" vertical="center"/>
    </xf>
    <xf numFmtId="0" fontId="47" fillId="98" borderId="1" xfId="1" applyFill="1" applyBorder="1"/>
    <xf numFmtId="0" fontId="82" fillId="94" borderId="1" xfId="1" applyFont="1" applyFill="1" applyBorder="1" applyAlignment="1">
      <alignment horizontal="left" vertical="center"/>
    </xf>
    <xf numFmtId="3" fontId="69" fillId="108" borderId="1" xfId="1" applyNumberFormat="1" applyFont="1" applyFill="1" applyBorder="1" applyAlignment="1">
      <alignment horizontal="right" vertical="center"/>
    </xf>
    <xf numFmtId="167" fontId="82" fillId="94" borderId="1" xfId="1" applyNumberFormat="1" applyFont="1" applyFill="1" applyBorder="1" applyAlignment="1">
      <alignment horizontal="center" vertical="center" wrapText="1"/>
    </xf>
    <xf numFmtId="0" fontId="47" fillId="94" borderId="1" xfId="1" applyFill="1" applyBorder="1"/>
    <xf numFmtId="0" fontId="86" fillId="95" borderId="1" xfId="1" applyFont="1" applyFill="1" applyBorder="1" applyAlignment="1">
      <alignment horizontal="left" vertical="center"/>
    </xf>
    <xf numFmtId="167" fontId="86" fillId="95" borderId="1" xfId="1" applyNumberFormat="1" applyFont="1" applyFill="1" applyBorder="1" applyAlignment="1">
      <alignment horizontal="center" vertical="center" wrapText="1"/>
    </xf>
    <xf numFmtId="0" fontId="47" fillId="95" borderId="1" xfId="1" applyFill="1" applyBorder="1"/>
    <xf numFmtId="0" fontId="84" fillId="97" borderId="1" xfId="1" applyFont="1" applyFill="1" applyBorder="1" applyAlignment="1">
      <alignment horizontal="left" vertical="center"/>
    </xf>
    <xf numFmtId="167" fontId="84" fillId="97" borderId="1" xfId="1" applyNumberFormat="1" applyFont="1" applyFill="1" applyBorder="1" applyAlignment="1">
      <alignment horizontal="center" vertical="center" wrapText="1"/>
    </xf>
    <xf numFmtId="3" fontId="84" fillId="97" borderId="1" xfId="1" applyNumberFormat="1" applyFont="1" applyFill="1" applyBorder="1" applyAlignment="1">
      <alignment horizontal="right" vertical="center"/>
    </xf>
    <xf numFmtId="0" fontId="47" fillId="97" borderId="1" xfId="1" applyFill="1" applyBorder="1"/>
    <xf numFmtId="0" fontId="32" fillId="89" borderId="5" xfId="1" applyFont="1" applyFill="1" applyBorder="1" applyAlignment="1">
      <alignment horizontal="left" vertical="center"/>
    </xf>
    <xf numFmtId="0" fontId="32" fillId="89" borderId="5" xfId="1" applyFont="1" applyFill="1" applyBorder="1" applyAlignment="1">
      <alignment horizontal="center" vertical="center" wrapText="1"/>
    </xf>
    <xf numFmtId="0" fontId="32" fillId="89" borderId="5" xfId="1" applyFont="1" applyFill="1" applyBorder="1" applyAlignment="1">
      <alignment horizontal="right" vertical="center"/>
    </xf>
    <xf numFmtId="3" fontId="32" fillId="89" borderId="5" xfId="1" applyNumberFormat="1" applyFont="1" applyFill="1" applyBorder="1" applyAlignment="1">
      <alignment horizontal="right" vertical="center"/>
    </xf>
    <xf numFmtId="0" fontId="32" fillId="110" borderId="1" xfId="1" applyFont="1" applyFill="1" applyBorder="1" applyAlignment="1">
      <alignment horizontal="center" vertical="center" wrapText="1"/>
    </xf>
    <xf numFmtId="0" fontId="32" fillId="110" borderId="5" xfId="1" applyFont="1" applyFill="1" applyBorder="1" applyAlignment="1">
      <alignment horizontal="left" vertical="center"/>
    </xf>
    <xf numFmtId="0" fontId="32" fillId="110" borderId="5" xfId="1" applyFont="1" applyFill="1" applyBorder="1" applyAlignment="1">
      <alignment horizontal="center" vertical="center" wrapText="1"/>
    </xf>
    <xf numFmtId="0" fontId="32" fillId="110" borderId="5" xfId="1" applyFont="1" applyFill="1" applyBorder="1" applyAlignment="1">
      <alignment horizontal="right" vertical="center"/>
    </xf>
    <xf numFmtId="3" fontId="32" fillId="110" borderId="5" xfId="1" applyNumberFormat="1" applyFont="1" applyFill="1" applyBorder="1" applyAlignment="1">
      <alignment horizontal="right" vertical="center"/>
    </xf>
    <xf numFmtId="0" fontId="83" fillId="97" borderId="1" xfId="1" applyFont="1" applyFill="1" applyBorder="1" applyAlignment="1">
      <alignment horizontal="center" vertical="center" wrapText="1"/>
    </xf>
    <xf numFmtId="3" fontId="83" fillId="97" borderId="1" xfId="1" applyNumberFormat="1" applyFont="1" applyFill="1" applyBorder="1" applyAlignment="1">
      <alignment horizontal="right" vertical="center"/>
    </xf>
    <xf numFmtId="0" fontId="101" fillId="91" borderId="1" xfId="1" applyFont="1" applyFill="1" applyBorder="1" applyAlignment="1">
      <alignment horizontal="left" vertical="center"/>
    </xf>
    <xf numFmtId="0" fontId="102" fillId="106" borderId="1" xfId="1" applyFont="1" applyFill="1" applyBorder="1" applyAlignment="1">
      <alignment horizontal="center" vertical="center" wrapText="1"/>
    </xf>
    <xf numFmtId="3" fontId="102" fillId="106" borderId="1" xfId="1" applyNumberFormat="1" applyFont="1" applyFill="1" applyBorder="1" applyAlignment="1">
      <alignment horizontal="right" vertical="center"/>
    </xf>
    <xf numFmtId="0" fontId="47" fillId="106" borderId="1" xfId="1" applyFill="1" applyBorder="1"/>
    <xf numFmtId="0" fontId="87" fillId="104" borderId="1" xfId="1" applyFont="1" applyFill="1" applyBorder="1" applyAlignment="1">
      <alignment horizontal="center" vertical="center" wrapText="1"/>
    </xf>
    <xf numFmtId="0" fontId="88" fillId="104" borderId="1" xfId="1" applyFont="1" applyFill="1" applyBorder="1" applyAlignment="1">
      <alignment horizontal="center" vertical="center" wrapText="1"/>
    </xf>
    <xf numFmtId="0" fontId="87" fillId="98" borderId="1" xfId="1" applyFont="1" applyFill="1" applyBorder="1" applyAlignment="1">
      <alignment horizontal="center" vertical="center" wrapText="1"/>
    </xf>
    <xf numFmtId="0" fontId="88" fillId="104" borderId="1" xfId="1" applyFont="1" applyFill="1" applyBorder="1" applyAlignment="1">
      <alignment horizontal="left" vertical="center"/>
    </xf>
    <xf numFmtId="167" fontId="88" fillId="104" borderId="1" xfId="1" applyNumberFormat="1" applyFont="1" applyFill="1" applyBorder="1" applyAlignment="1">
      <alignment horizontal="center" vertical="center" wrapText="1"/>
    </xf>
    <xf numFmtId="0" fontId="47" fillId="104" borderId="1" xfId="1" applyFill="1" applyBorder="1"/>
    <xf numFmtId="0" fontId="47" fillId="57" borderId="0" xfId="1" applyFill="1"/>
    <xf numFmtId="0" fontId="67" fillId="93" borderId="1" xfId="1" applyFont="1" applyFill="1" applyBorder="1" applyAlignment="1">
      <alignment horizontal="left" vertical="center"/>
    </xf>
    <xf numFmtId="3" fontId="102" fillId="93" borderId="1" xfId="1" applyNumberFormat="1" applyFont="1" applyFill="1" applyBorder="1" applyAlignment="1">
      <alignment horizontal="right" vertical="center"/>
    </xf>
    <xf numFmtId="167" fontId="67" fillId="93" borderId="1" xfId="1" applyNumberFormat="1" applyFont="1" applyFill="1" applyBorder="1" applyAlignment="1">
      <alignment horizontal="center" vertical="center" wrapText="1"/>
    </xf>
    <xf numFmtId="0" fontId="47" fillId="93" borderId="1" xfId="1" applyFill="1" applyBorder="1"/>
    <xf numFmtId="0" fontId="104" fillId="92" borderId="1" xfId="1" applyFont="1" applyFill="1" applyBorder="1" applyAlignment="1">
      <alignment horizontal="left" vertical="center"/>
    </xf>
    <xf numFmtId="0" fontId="81" fillId="111" borderId="1" xfId="1" applyFont="1" applyFill="1" applyBorder="1" applyAlignment="1">
      <alignment horizontal="center" vertical="center" wrapText="1"/>
    </xf>
    <xf numFmtId="0" fontId="82" fillId="111" borderId="1" xfId="1" applyFont="1" applyFill="1" applyBorder="1" applyAlignment="1">
      <alignment horizontal="center" vertical="center" wrapText="1"/>
    </xf>
    <xf numFmtId="0" fontId="81" fillId="94" borderId="1" xfId="1" applyFont="1" applyFill="1" applyBorder="1" applyAlignment="1">
      <alignment horizontal="center" vertical="center" wrapText="1"/>
    </xf>
    <xf numFmtId="0" fontId="82" fillId="111" borderId="1" xfId="1" applyFont="1" applyFill="1" applyBorder="1" applyAlignment="1">
      <alignment horizontal="left" vertical="center"/>
    </xf>
    <xf numFmtId="3" fontId="81" fillId="111" borderId="1" xfId="1" applyNumberFormat="1" applyFont="1" applyFill="1" applyBorder="1" applyAlignment="1">
      <alignment horizontal="right" vertical="center"/>
    </xf>
    <xf numFmtId="167" fontId="82" fillId="111" borderId="1" xfId="1" applyNumberFormat="1" applyFont="1" applyFill="1" applyBorder="1" applyAlignment="1">
      <alignment horizontal="center" vertical="center" wrapText="1"/>
    </xf>
    <xf numFmtId="0" fontId="47" fillId="111" borderId="1" xfId="1" applyFill="1" applyBorder="1"/>
    <xf numFmtId="0" fontId="32" fillId="50" borderId="1" xfId="1" applyFont="1" applyFill="1" applyBorder="1" applyAlignment="1">
      <alignment horizontal="left" vertical="center"/>
    </xf>
    <xf numFmtId="0" fontId="83" fillId="97" borderId="1" xfId="1" applyFont="1" applyFill="1" applyBorder="1" applyAlignment="1">
      <alignment horizontal="left" vertical="center"/>
    </xf>
    <xf numFmtId="0" fontId="87" fillId="98" borderId="1" xfId="1" applyFont="1" applyFill="1" applyBorder="1" applyAlignment="1">
      <alignment horizontal="left" vertical="center"/>
    </xf>
    <xf numFmtId="0" fontId="105" fillId="81" borderId="1" xfId="1" applyFont="1" applyFill="1" applyBorder="1" applyAlignment="1">
      <alignment horizontal="center" vertical="center" wrapText="1"/>
    </xf>
    <xf numFmtId="0" fontId="105" fillId="108" borderId="1" xfId="1" applyFont="1" applyFill="1" applyBorder="1" applyAlignment="1">
      <alignment horizontal="center" vertical="center" wrapText="1"/>
    </xf>
    <xf numFmtId="0" fontId="106" fillId="102" borderId="1" xfId="1" applyFont="1" applyFill="1" applyBorder="1" applyAlignment="1">
      <alignment horizontal="center" vertical="center" wrapText="1"/>
    </xf>
    <xf numFmtId="0" fontId="106" fillId="100" borderId="1" xfId="1" applyFont="1" applyFill="1" applyBorder="1" applyAlignment="1">
      <alignment horizontal="center" vertical="center" wrapText="1"/>
    </xf>
    <xf numFmtId="0" fontId="106" fillId="107" borderId="1" xfId="1" applyFont="1" applyFill="1" applyBorder="1" applyAlignment="1">
      <alignment horizontal="center" vertical="center" wrapText="1"/>
    </xf>
    <xf numFmtId="0" fontId="6" fillId="5" borderId="6" xfId="0" applyFont="1" applyFill="1" applyBorder="1" applyAlignment="1">
      <alignment horizontal="center" vertical="center"/>
    </xf>
    <xf numFmtId="0" fontId="107" fillId="29" borderId="6" xfId="0" applyFont="1" applyFill="1" applyBorder="1" applyAlignment="1">
      <alignment horizontal="center" vertical="center"/>
    </xf>
    <xf numFmtId="0" fontId="107" fillId="29" borderId="6" xfId="0" applyFont="1" applyFill="1" applyBorder="1" applyAlignment="1">
      <alignment horizontal="left" vertical="center"/>
    </xf>
    <xf numFmtId="0" fontId="108" fillId="29" borderId="6" xfId="0" applyFont="1" applyFill="1" applyBorder="1" applyAlignment="1">
      <alignment horizontal="center" vertical="center"/>
    </xf>
    <xf numFmtId="0" fontId="109" fillId="112" borderId="6" xfId="0" applyFont="1" applyFill="1" applyBorder="1" applyAlignment="1">
      <alignment horizontal="center" vertical="center"/>
    </xf>
    <xf numFmtId="0" fontId="109" fillId="112" borderId="6" xfId="0" applyFont="1" applyFill="1" applyBorder="1" applyAlignment="1">
      <alignment horizontal="left" vertical="center"/>
    </xf>
    <xf numFmtId="0" fontId="6" fillId="113" borderId="6" xfId="0" applyFont="1" applyFill="1" applyBorder="1" applyAlignment="1">
      <alignment horizontal="center" vertical="center"/>
    </xf>
    <xf numFmtId="0" fontId="16" fillId="116" borderId="6" xfId="0" applyFont="1" applyFill="1" applyBorder="1" applyAlignment="1">
      <alignment horizontal="center" vertical="center" wrapText="1"/>
    </xf>
    <xf numFmtId="0" fontId="113" fillId="112" borderId="6"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18" fillId="114" borderId="6"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16" fillId="114" borderId="6" xfId="0" applyFont="1" applyFill="1" applyBorder="1" applyAlignment="1">
      <alignment horizontal="center" vertical="center" wrapText="1"/>
    </xf>
    <xf numFmtId="0" fontId="3" fillId="114" borderId="6" xfId="0" applyFont="1" applyFill="1" applyBorder="1" applyAlignment="1">
      <alignment horizontal="left" vertical="center" wrapText="1"/>
    </xf>
    <xf numFmtId="0" fontId="116" fillId="114" borderId="6" xfId="0" applyFont="1" applyFill="1" applyBorder="1" applyAlignment="1">
      <alignment horizontal="left" vertical="center" wrapText="1"/>
    </xf>
    <xf numFmtId="0" fontId="117" fillId="116" borderId="6" xfId="0" applyFont="1" applyFill="1" applyBorder="1" applyAlignment="1">
      <alignment horizontal="center" vertical="center" wrapText="1"/>
    </xf>
    <xf numFmtId="0" fontId="3" fillId="114" borderId="6" xfId="0" applyFont="1" applyFill="1" applyBorder="1" applyAlignment="1">
      <alignment horizontal="center" vertical="center" wrapText="1"/>
    </xf>
    <xf numFmtId="0" fontId="118" fillId="116" borderId="6" xfId="0" applyFont="1" applyFill="1" applyBorder="1" applyAlignment="1">
      <alignment horizontal="left" vertical="center" wrapText="1"/>
    </xf>
    <xf numFmtId="0" fontId="119" fillId="29" borderId="6" xfId="0" applyFont="1" applyFill="1" applyBorder="1" applyAlignment="1">
      <alignment horizontal="center" vertical="center" wrapText="1"/>
    </xf>
    <xf numFmtId="0" fontId="120" fillId="118" borderId="6" xfId="0" applyFont="1" applyFill="1" applyBorder="1" applyAlignment="1">
      <alignment horizontal="center" vertical="center" wrapText="1"/>
    </xf>
    <xf numFmtId="0" fontId="121" fillId="119" borderId="6" xfId="0" applyFont="1" applyFill="1" applyBorder="1" applyAlignment="1">
      <alignment horizontal="center" vertical="center" wrapText="1"/>
    </xf>
    <xf numFmtId="0" fontId="122" fillId="115" borderId="6" xfId="0" applyFont="1" applyFill="1" applyBorder="1" applyAlignment="1">
      <alignment horizontal="center" vertical="center" wrapText="1"/>
    </xf>
    <xf numFmtId="0" fontId="3" fillId="120" borderId="6" xfId="0" applyFont="1" applyFill="1" applyBorder="1" applyAlignment="1">
      <alignment horizontal="center" vertical="center" wrapText="1"/>
    </xf>
    <xf numFmtId="0" fontId="112" fillId="14" borderId="6" xfId="0" applyFont="1" applyFill="1" applyBorder="1" applyAlignment="1">
      <alignment horizontal="center" vertical="center" wrapText="1"/>
    </xf>
    <xf numFmtId="0" fontId="3" fillId="121" borderId="6" xfId="0" applyFont="1" applyFill="1" applyBorder="1" applyAlignment="1">
      <alignment horizontal="center" vertical="center" wrapText="1"/>
    </xf>
    <xf numFmtId="0" fontId="123" fillId="125" borderId="6" xfId="0" applyFont="1" applyFill="1" applyBorder="1" applyAlignment="1">
      <alignment horizontal="left" vertical="center" wrapText="1"/>
    </xf>
    <xf numFmtId="0" fontId="124" fillId="112" borderId="6" xfId="0" applyFont="1" applyFill="1" applyBorder="1" applyAlignment="1">
      <alignment horizontal="right" vertical="center"/>
    </xf>
    <xf numFmtId="0" fontId="113" fillId="112" borderId="6" xfId="0" applyFont="1" applyFill="1" applyBorder="1" applyAlignment="1">
      <alignment horizontal="right" vertical="center"/>
    </xf>
    <xf numFmtId="0" fontId="112" fillId="112" borderId="6" xfId="0" applyFont="1" applyFill="1" applyBorder="1" applyAlignment="1">
      <alignment horizontal="center" vertical="center" wrapText="1"/>
    </xf>
    <xf numFmtId="0" fontId="125" fillId="112" borderId="6" xfId="0" applyFont="1" applyFill="1" applyBorder="1" applyAlignment="1">
      <alignment horizontal="left" vertical="center" wrapText="1"/>
    </xf>
    <xf numFmtId="0" fontId="126" fillId="127" borderId="6" xfId="0" applyFont="1" applyFill="1" applyBorder="1" applyAlignment="1">
      <alignment horizontal="left" vertical="center" wrapText="1"/>
    </xf>
    <xf numFmtId="0" fontId="127" fillId="124" borderId="6" xfId="0" applyFont="1" applyFill="1" applyBorder="1" applyAlignment="1">
      <alignment horizontal="left" vertical="center" wrapText="1"/>
    </xf>
    <xf numFmtId="0" fontId="124" fillId="14" borderId="6" xfId="0" applyFont="1" applyFill="1" applyBorder="1" applyAlignment="1">
      <alignment horizontal="right" vertical="center"/>
    </xf>
    <xf numFmtId="0" fontId="128" fillId="14" borderId="6" xfId="0" applyFont="1" applyFill="1" applyBorder="1" applyAlignment="1">
      <alignment horizontal="right" vertical="center"/>
    </xf>
    <xf numFmtId="0" fontId="128" fillId="14" borderId="6" xfId="0" applyFont="1" applyFill="1" applyBorder="1" applyAlignment="1">
      <alignment horizontal="center" vertical="center" wrapText="1"/>
    </xf>
    <xf numFmtId="0" fontId="129" fillId="14" borderId="6" xfId="0" applyFont="1" applyFill="1" applyBorder="1" applyAlignment="1">
      <alignment horizontal="left" vertical="center" wrapText="1"/>
    </xf>
    <xf numFmtId="0" fontId="18" fillId="120" borderId="6" xfId="0" applyFont="1" applyFill="1" applyBorder="1" applyAlignment="1">
      <alignment horizontal="center" vertical="center" wrapText="1"/>
    </xf>
    <xf numFmtId="0" fontId="130" fillId="126" borderId="6" xfId="0" applyFont="1" applyFill="1" applyBorder="1" applyAlignment="1">
      <alignment horizontal="left" vertical="center" wrapText="1"/>
    </xf>
    <xf numFmtId="0" fontId="131" fillId="128" borderId="6" xfId="0" applyFont="1" applyFill="1" applyBorder="1" applyAlignment="1">
      <alignment horizontal="left" vertical="center" wrapText="1"/>
    </xf>
    <xf numFmtId="0" fontId="132" fillId="129" borderId="6"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13" fillId="130" borderId="6" xfId="0" applyFont="1" applyFill="1" applyBorder="1" applyAlignment="1">
      <alignment horizontal="center" vertical="center" wrapText="1"/>
    </xf>
    <xf numFmtId="0" fontId="124" fillId="112" borderId="6" xfId="0" applyFont="1" applyFill="1" applyBorder="1" applyAlignment="1">
      <alignment horizontal="center" vertical="center" wrapText="1"/>
    </xf>
    <xf numFmtId="0" fontId="113" fillId="26" borderId="6" xfId="0" applyFont="1" applyFill="1" applyBorder="1" applyAlignment="1">
      <alignment horizontal="center" vertical="center" wrapText="1"/>
    </xf>
    <xf numFmtId="0" fontId="123" fillId="26" borderId="6" xfId="0" applyFont="1" applyFill="1" applyBorder="1" applyAlignment="1">
      <alignment horizontal="center" vertical="center" wrapText="1"/>
    </xf>
    <xf numFmtId="0" fontId="124" fillId="14" borderId="6" xfId="0" applyFont="1" applyFill="1" applyBorder="1" applyAlignment="1">
      <alignment horizontal="center" vertical="center" wrapText="1"/>
    </xf>
    <xf numFmtId="0" fontId="128" fillId="26" borderId="6" xfId="0" applyFont="1" applyFill="1" applyBorder="1" applyAlignment="1">
      <alignment horizontal="center" vertical="center" wrapText="1"/>
    </xf>
    <xf numFmtId="0" fontId="133" fillId="116" borderId="6" xfId="0" applyFont="1" applyFill="1" applyBorder="1" applyAlignment="1">
      <alignment horizontal="center" vertical="center" wrapText="1"/>
    </xf>
    <xf numFmtId="0" fontId="3" fillId="131" borderId="6" xfId="0" applyFont="1" applyFill="1" applyBorder="1" applyAlignment="1">
      <alignment horizontal="left" vertical="center" wrapText="1"/>
    </xf>
    <xf numFmtId="0" fontId="135" fillId="132" borderId="6" xfId="0" applyFont="1" applyFill="1" applyBorder="1" applyAlignment="1">
      <alignment horizontal="left" vertical="center" wrapText="1"/>
    </xf>
    <xf numFmtId="0" fontId="12" fillId="15" borderId="6" xfId="0" applyFont="1" applyFill="1" applyBorder="1" applyAlignment="1">
      <alignment horizontal="right" vertical="center"/>
    </xf>
    <xf numFmtId="0" fontId="136" fillId="26" borderId="6" xfId="0" applyFont="1" applyFill="1" applyBorder="1" applyAlignment="1">
      <alignment horizontal="center" vertical="center" wrapText="1"/>
    </xf>
    <xf numFmtId="0" fontId="137" fillId="116" borderId="6" xfId="0" applyFont="1" applyFill="1" applyBorder="1" applyAlignment="1">
      <alignment horizontal="left" vertical="center" wrapText="1"/>
    </xf>
    <xf numFmtId="0" fontId="3" fillId="133" borderId="6" xfId="0" applyFont="1" applyFill="1" applyBorder="1" applyAlignment="1">
      <alignment horizontal="left" vertical="center" wrapText="1"/>
    </xf>
    <xf numFmtId="0" fontId="138" fillId="26" borderId="6" xfId="0" applyFont="1" applyFill="1" applyBorder="1" applyAlignment="1">
      <alignment horizontal="center" vertical="center" wrapText="1"/>
    </xf>
    <xf numFmtId="0" fontId="3" fillId="134" borderId="6" xfId="0" applyFont="1" applyFill="1" applyBorder="1" applyAlignment="1">
      <alignment horizontal="left" vertical="center" wrapText="1"/>
    </xf>
    <xf numFmtId="0" fontId="139" fillId="135" borderId="6" xfId="0" applyFont="1" applyFill="1" applyBorder="1" applyAlignment="1">
      <alignment horizontal="left" vertical="center" wrapText="1"/>
    </xf>
    <xf numFmtId="0" fontId="140" fillId="26" borderId="6" xfId="0" applyFont="1" applyFill="1" applyBorder="1" applyAlignment="1">
      <alignment horizontal="center" vertical="center" wrapText="1"/>
    </xf>
    <xf numFmtId="0" fontId="3" fillId="136" borderId="6" xfId="0" applyFont="1" applyFill="1" applyBorder="1" applyAlignment="1">
      <alignment horizontal="left" vertical="center" wrapText="1"/>
    </xf>
    <xf numFmtId="0" fontId="141" fillId="26" borderId="6" xfId="0" applyFont="1" applyFill="1" applyBorder="1" applyAlignment="1">
      <alignment horizontal="center" vertical="center" wrapText="1"/>
    </xf>
    <xf numFmtId="0" fontId="3" fillId="137" borderId="6" xfId="0" applyFont="1" applyFill="1" applyBorder="1" applyAlignment="1">
      <alignment horizontal="left" vertical="center" wrapText="1"/>
    </xf>
    <xf numFmtId="0" fontId="3" fillId="138" borderId="6" xfId="0" applyFont="1" applyFill="1" applyBorder="1" applyAlignment="1">
      <alignment horizontal="left" vertical="center" wrapText="1"/>
    </xf>
    <xf numFmtId="0" fontId="142" fillId="26" borderId="6" xfId="0" applyFont="1" applyFill="1" applyBorder="1" applyAlignment="1">
      <alignment horizontal="center" vertical="center" wrapText="1"/>
    </xf>
    <xf numFmtId="0" fontId="3" fillId="5" borderId="8" xfId="0" applyFont="1" applyFill="1" applyBorder="1" applyAlignment="1">
      <alignment horizontal="right" vertical="center"/>
    </xf>
    <xf numFmtId="0" fontId="143" fillId="126" borderId="6" xfId="0" applyFont="1" applyFill="1" applyBorder="1" applyAlignment="1">
      <alignment horizontal="center" vertical="center" wrapText="1"/>
    </xf>
    <xf numFmtId="0" fontId="144" fillId="126" borderId="6" xfId="0" applyFont="1" applyFill="1" applyBorder="1" applyAlignment="1">
      <alignment horizontal="center" vertical="center" wrapText="1"/>
    </xf>
    <xf numFmtId="0" fontId="145" fillId="126" borderId="6" xfId="0" applyFont="1" applyFill="1" applyBorder="1" applyAlignment="1">
      <alignment horizontal="center" vertical="center" wrapText="1"/>
    </xf>
    <xf numFmtId="0" fontId="146" fillId="124" borderId="6" xfId="0" applyFont="1" applyFill="1" applyBorder="1" applyAlignment="1">
      <alignment horizontal="center" vertical="center" wrapText="1"/>
    </xf>
    <xf numFmtId="0" fontId="147" fillId="124" borderId="6" xfId="0" applyFont="1" applyFill="1" applyBorder="1" applyAlignment="1">
      <alignment horizontal="center" vertical="center" wrapText="1"/>
    </xf>
    <xf numFmtId="0" fontId="148" fillId="124" borderId="6" xfId="0" applyFont="1" applyFill="1" applyBorder="1" applyAlignment="1">
      <alignment horizontal="center" vertical="center" wrapText="1"/>
    </xf>
    <xf numFmtId="0" fontId="149" fillId="129" borderId="6" xfId="0" applyFont="1" applyFill="1" applyBorder="1" applyAlignment="1">
      <alignment horizontal="center" vertical="center" wrapText="1"/>
    </xf>
    <xf numFmtId="0" fontId="132" fillId="129" borderId="6" xfId="0" applyFont="1" applyFill="1" applyBorder="1" applyAlignment="1">
      <alignment horizontal="center" vertical="center" wrapText="1"/>
    </xf>
    <xf numFmtId="0" fontId="150" fillId="129" borderId="6" xfId="0" applyFont="1" applyFill="1" applyBorder="1" applyAlignment="1">
      <alignment horizontal="center" vertical="center" wrapText="1"/>
    </xf>
    <xf numFmtId="0" fontId="151" fillId="128" borderId="6" xfId="0" applyFont="1" applyFill="1" applyBorder="1" applyAlignment="1">
      <alignment horizontal="center" vertical="center" wrapText="1"/>
    </xf>
    <xf numFmtId="0" fontId="152" fillId="128" borderId="6" xfId="0" applyFont="1" applyFill="1" applyBorder="1" applyAlignment="1">
      <alignment horizontal="center" vertical="center" wrapText="1"/>
    </xf>
    <xf numFmtId="0" fontId="153" fillId="128" borderId="6" xfId="0" applyFont="1" applyFill="1" applyBorder="1" applyAlignment="1">
      <alignment horizontal="center" vertical="center" wrapText="1"/>
    </xf>
    <xf numFmtId="0" fontId="154" fillId="127" borderId="6" xfId="0" applyFont="1" applyFill="1" applyBorder="1" applyAlignment="1">
      <alignment horizontal="center" vertical="center" wrapText="1"/>
    </xf>
    <xf numFmtId="0" fontId="126" fillId="127" borderId="6" xfId="0" applyFont="1" applyFill="1" applyBorder="1" applyAlignment="1">
      <alignment horizontal="center" vertical="center" wrapText="1"/>
    </xf>
    <xf numFmtId="0" fontId="155" fillId="127" borderId="6" xfId="0" applyFont="1" applyFill="1" applyBorder="1" applyAlignment="1">
      <alignment horizontal="center" vertical="center" wrapText="1"/>
    </xf>
    <xf numFmtId="0" fontId="156" fillId="125" borderId="6" xfId="0" applyFont="1" applyFill="1" applyBorder="1" applyAlignment="1">
      <alignment horizontal="center" vertical="center" wrapText="1"/>
    </xf>
    <xf numFmtId="0" fontId="157" fillId="125" borderId="6" xfId="0" applyFont="1" applyFill="1" applyBorder="1" applyAlignment="1">
      <alignment horizontal="center" vertical="center" wrapText="1"/>
    </xf>
    <xf numFmtId="0" fontId="158" fillId="125" borderId="6" xfId="0" applyFont="1" applyFill="1" applyBorder="1" applyAlignment="1">
      <alignment horizontal="center" vertical="center" wrapText="1"/>
    </xf>
    <xf numFmtId="0" fontId="3" fillId="140" borderId="6" xfId="0" applyFont="1" applyFill="1" applyBorder="1" applyAlignment="1">
      <alignment horizontal="left" vertical="center" wrapText="1"/>
    </xf>
    <xf numFmtId="0" fontId="160" fillId="126" borderId="6" xfId="0" applyFont="1" applyFill="1" applyBorder="1" applyAlignment="1">
      <alignment horizontal="right" vertical="center"/>
    </xf>
    <xf numFmtId="0" fontId="160" fillId="126" borderId="6" xfId="0" applyFont="1" applyFill="1" applyBorder="1" applyAlignment="1">
      <alignment horizontal="center" vertical="center" wrapText="1"/>
    </xf>
    <xf numFmtId="0" fontId="3" fillId="140" borderId="6" xfId="0" applyFont="1" applyFill="1" applyBorder="1" applyAlignment="1">
      <alignment horizontal="center" vertical="center" wrapText="1"/>
    </xf>
    <xf numFmtId="0" fontId="161" fillId="127" borderId="6" xfId="0" applyFont="1" applyFill="1" applyBorder="1" applyAlignment="1">
      <alignment horizontal="right" vertical="center"/>
    </xf>
    <xf numFmtId="0" fontId="161" fillId="127" borderId="6" xfId="0" applyFont="1" applyFill="1" applyBorder="1" applyAlignment="1">
      <alignment horizontal="center" vertical="center" wrapText="1"/>
    </xf>
    <xf numFmtId="0" fontId="3" fillId="133" borderId="6" xfId="0" applyFont="1" applyFill="1" applyBorder="1" applyAlignment="1">
      <alignment horizontal="center" vertical="center" wrapText="1"/>
    </xf>
    <xf numFmtId="0" fontId="3" fillId="121" borderId="6" xfId="0" applyFont="1" applyFill="1" applyBorder="1" applyAlignment="1">
      <alignment horizontal="left" vertical="center" wrapText="1"/>
    </xf>
    <xf numFmtId="0" fontId="162" fillId="125" borderId="6" xfId="0" applyFont="1" applyFill="1" applyBorder="1" applyAlignment="1">
      <alignment horizontal="right" vertical="center"/>
    </xf>
    <xf numFmtId="0" fontId="162" fillId="125" borderId="6" xfId="0" applyFont="1" applyFill="1" applyBorder="1" applyAlignment="1">
      <alignment horizontal="center" vertical="center" wrapText="1"/>
    </xf>
    <xf numFmtId="0" fontId="163" fillId="126" borderId="6" xfId="0" applyFont="1" applyFill="1" applyBorder="1" applyAlignment="1">
      <alignment horizontal="right" vertical="center"/>
    </xf>
    <xf numFmtId="0" fontId="163" fillId="126" borderId="6" xfId="0" applyFont="1" applyFill="1" applyBorder="1" applyAlignment="1">
      <alignment horizontal="center" vertical="center" wrapText="1"/>
    </xf>
    <xf numFmtId="0" fontId="3" fillId="136" borderId="6" xfId="0" applyFont="1" applyFill="1" applyBorder="1" applyAlignment="1">
      <alignment horizontal="center" vertical="center" wrapText="1"/>
    </xf>
    <xf numFmtId="0" fontId="3" fillId="142" borderId="6" xfId="0" applyFont="1" applyFill="1" applyBorder="1" applyAlignment="1">
      <alignment horizontal="left" vertical="center" wrapText="1"/>
    </xf>
    <xf numFmtId="0" fontId="164" fillId="14" borderId="6" xfId="0" applyFont="1" applyFill="1" applyBorder="1" applyAlignment="1">
      <alignment horizontal="right" vertical="center"/>
    </xf>
    <xf numFmtId="0" fontId="164" fillId="14" borderId="6" xfId="0" applyFont="1" applyFill="1" applyBorder="1" applyAlignment="1">
      <alignment horizontal="center" vertical="center" wrapText="1"/>
    </xf>
    <xf numFmtId="0" fontId="3" fillId="142" borderId="6" xfId="0" applyFont="1" applyFill="1" applyBorder="1" applyAlignment="1">
      <alignment horizontal="center" vertical="center" wrapText="1"/>
    </xf>
    <xf numFmtId="0" fontId="165" fillId="129" borderId="6" xfId="0" applyFont="1" applyFill="1" applyBorder="1" applyAlignment="1">
      <alignment horizontal="right" vertical="center"/>
    </xf>
    <xf numFmtId="0" fontId="165" fillId="129" borderId="6" xfId="0" applyFont="1" applyFill="1" applyBorder="1" applyAlignment="1">
      <alignment horizontal="center" vertical="center" wrapText="1"/>
    </xf>
    <xf numFmtId="0" fontId="3" fillId="138" borderId="6" xfId="0" applyFont="1" applyFill="1" applyBorder="1" applyAlignment="1">
      <alignment horizontal="center" vertical="center" wrapText="1"/>
    </xf>
    <xf numFmtId="0" fontId="3" fillId="143" borderId="6" xfId="0" applyFont="1" applyFill="1" applyBorder="1" applyAlignment="1">
      <alignment horizontal="left" vertical="center" wrapText="1"/>
    </xf>
    <xf numFmtId="0" fontId="166" fillId="124" borderId="6" xfId="0" applyFont="1" applyFill="1" applyBorder="1" applyAlignment="1">
      <alignment horizontal="right" vertical="center"/>
    </xf>
    <xf numFmtId="0" fontId="166" fillId="124" borderId="6" xfId="0" applyFont="1" applyFill="1" applyBorder="1" applyAlignment="1">
      <alignment horizontal="center" vertical="center" wrapText="1"/>
    </xf>
    <xf numFmtId="0" fontId="3" fillId="143" borderId="6" xfId="0" applyFont="1" applyFill="1" applyBorder="1" applyAlignment="1">
      <alignment horizontal="center" vertical="center" wrapText="1"/>
    </xf>
    <xf numFmtId="0" fontId="3" fillId="141" borderId="6" xfId="0" applyFont="1" applyFill="1" applyBorder="1" applyAlignment="1">
      <alignment horizontal="left" vertical="center" wrapText="1"/>
    </xf>
    <xf numFmtId="0" fontId="167" fillId="124" borderId="6" xfId="0" applyFont="1" applyFill="1" applyBorder="1" applyAlignment="1">
      <alignment horizontal="right" vertical="center"/>
    </xf>
    <xf numFmtId="0" fontId="167" fillId="124" borderId="6" xfId="0" applyFont="1" applyFill="1" applyBorder="1" applyAlignment="1">
      <alignment horizontal="center" vertical="center" wrapText="1"/>
    </xf>
    <xf numFmtId="0" fontId="3" fillId="141" borderId="6" xfId="0" applyFont="1" applyFill="1" applyBorder="1" applyAlignment="1">
      <alignment horizontal="center" vertical="center" wrapText="1"/>
    </xf>
    <xf numFmtId="0" fontId="3" fillId="144" borderId="8" xfId="0" applyFont="1" applyFill="1" applyBorder="1" applyAlignment="1">
      <alignment horizontal="left" vertical="center" wrapText="1"/>
    </xf>
    <xf numFmtId="0" fontId="3" fillId="144" borderId="8" xfId="0" applyFont="1" applyFill="1" applyBorder="1" applyAlignment="1">
      <alignment horizontal="center" vertical="center" wrapText="1"/>
    </xf>
    <xf numFmtId="0" fontId="18" fillId="133" borderId="6" xfId="0" applyFont="1" applyFill="1" applyBorder="1" applyAlignment="1">
      <alignment horizontal="center" vertical="center" wrapText="1"/>
    </xf>
    <xf numFmtId="0" fontId="18" fillId="136" borderId="6" xfId="0" applyFont="1" applyFill="1" applyBorder="1" applyAlignment="1">
      <alignment horizontal="center" vertical="center" wrapText="1"/>
    </xf>
    <xf numFmtId="0" fontId="18" fillId="138" borderId="6" xfId="0" applyFont="1" applyFill="1" applyBorder="1" applyAlignment="1">
      <alignment horizontal="center" vertical="center" wrapText="1"/>
    </xf>
    <xf numFmtId="0" fontId="18" fillId="141" borderId="6" xfId="0" applyFont="1" applyFill="1" applyBorder="1" applyAlignment="1">
      <alignment horizontal="center" vertical="center" wrapText="1"/>
    </xf>
    <xf numFmtId="0" fontId="132" fillId="129" borderId="6" xfId="0" applyFont="1" applyFill="1" applyBorder="1" applyAlignment="1">
      <alignment horizontal="right" vertical="center"/>
    </xf>
    <xf numFmtId="0" fontId="168" fillId="126" borderId="6" xfId="0" applyFont="1" applyFill="1" applyBorder="1" applyAlignment="1">
      <alignment horizontal="right" vertical="center"/>
    </xf>
    <xf numFmtId="0" fontId="3" fillId="7" borderId="6" xfId="0" applyFont="1" applyFill="1" applyBorder="1" applyAlignment="1">
      <alignment horizontal="center" vertical="center" wrapText="1"/>
    </xf>
    <xf numFmtId="0" fontId="16" fillId="116" borderId="6" xfId="0" applyFont="1" applyFill="1" applyBorder="1" applyAlignment="1">
      <alignment horizontal="right" vertical="center"/>
    </xf>
    <xf numFmtId="0" fontId="126" fillId="127" borderId="6" xfId="0" applyFont="1" applyFill="1" applyBorder="1" applyAlignment="1">
      <alignment horizontal="right" vertical="center"/>
    </xf>
    <xf numFmtId="0" fontId="169" fillId="14" borderId="6" xfId="0" applyFont="1" applyFill="1" applyBorder="1" applyAlignment="1">
      <alignment horizontal="right" vertical="center"/>
    </xf>
    <xf numFmtId="0" fontId="123" fillId="125" borderId="6" xfId="0" applyFont="1" applyFill="1" applyBorder="1" applyAlignment="1">
      <alignment horizontal="right" vertical="center"/>
    </xf>
    <xf numFmtId="0" fontId="144" fillId="126" borderId="6" xfId="0" applyFont="1" applyFill="1" applyBorder="1" applyAlignment="1">
      <alignment horizontal="right" vertical="center"/>
    </xf>
    <xf numFmtId="0" fontId="170" fillId="124" borderId="6" xfId="0" applyFont="1" applyFill="1" applyBorder="1" applyAlignment="1">
      <alignment horizontal="right" vertical="center"/>
    </xf>
    <xf numFmtId="0" fontId="3" fillId="133" borderId="8" xfId="0" applyFont="1" applyFill="1" applyBorder="1" applyAlignment="1">
      <alignment horizontal="right" vertical="center"/>
    </xf>
    <xf numFmtId="0" fontId="3" fillId="136" borderId="8" xfId="0" applyFont="1" applyFill="1" applyBorder="1" applyAlignment="1">
      <alignment horizontal="right" vertical="center"/>
    </xf>
    <xf numFmtId="0" fontId="3" fillId="138" borderId="8" xfId="0" applyFont="1" applyFill="1" applyBorder="1" applyAlignment="1">
      <alignment horizontal="right" vertical="center"/>
    </xf>
    <xf numFmtId="0" fontId="3" fillId="141" borderId="8" xfId="0" applyFont="1" applyFill="1" applyBorder="1" applyAlignment="1">
      <alignment horizontal="right" vertical="center"/>
    </xf>
    <xf numFmtId="0" fontId="3" fillId="139" borderId="8" xfId="0" applyFont="1" applyFill="1" applyBorder="1" applyAlignment="1">
      <alignment horizontal="right" vertical="center"/>
    </xf>
    <xf numFmtId="0" fontId="172" fillId="42" borderId="11" xfId="1" applyFont="1" applyFill="1" applyBorder="1" applyAlignment="1">
      <alignment horizontal="center" vertical="center" wrapText="1"/>
    </xf>
    <xf numFmtId="0" fontId="173" fillId="147" borderId="12" xfId="1" applyFont="1" applyFill="1" applyBorder="1" applyAlignment="1">
      <alignment horizontal="left" vertical="center"/>
    </xf>
    <xf numFmtId="3" fontId="174" fillId="147" borderId="12" xfId="1" applyNumberFormat="1" applyFont="1" applyFill="1" applyBorder="1" applyAlignment="1">
      <alignment horizontal="right" vertical="center"/>
    </xf>
    <xf numFmtId="0" fontId="173" fillId="148" borderId="12" xfId="1" applyFont="1" applyFill="1" applyBorder="1" applyAlignment="1">
      <alignment horizontal="left" vertical="center"/>
    </xf>
    <xf numFmtId="3" fontId="174" fillId="148" borderId="12" xfId="1" applyNumberFormat="1" applyFont="1" applyFill="1" applyBorder="1" applyAlignment="1">
      <alignment horizontal="right" vertical="center"/>
    </xf>
    <xf numFmtId="0" fontId="172" fillId="146" borderId="12" xfId="1" applyFont="1" applyFill="1" applyBorder="1" applyAlignment="1">
      <alignment horizontal="left" vertical="center"/>
    </xf>
    <xf numFmtId="3" fontId="172" fillId="146" borderId="12" xfId="1" applyNumberFormat="1" applyFont="1" applyFill="1" applyBorder="1" applyAlignment="1">
      <alignment horizontal="right" vertical="center"/>
    </xf>
    <xf numFmtId="0" fontId="177" fillId="42" borderId="14" xfId="1" applyFont="1" applyFill="1" applyBorder="1" applyAlignment="1">
      <alignment horizontal="center" vertical="center" wrapText="1"/>
    </xf>
    <xf numFmtId="0" fontId="177" fillId="149" borderId="14" xfId="1" applyFont="1" applyFill="1" applyBorder="1" applyAlignment="1">
      <alignment horizontal="center" vertical="center" wrapText="1"/>
    </xf>
    <xf numFmtId="0" fontId="177" fillId="150" borderId="14" xfId="1" applyFont="1" applyFill="1" applyBorder="1" applyAlignment="1">
      <alignment horizontal="center" vertical="center" wrapText="1"/>
    </xf>
    <xf numFmtId="0" fontId="178" fillId="152" borderId="12" xfId="1" applyFont="1" applyFill="1" applyBorder="1" applyAlignment="1">
      <alignment horizontal="left" vertical="center"/>
    </xf>
    <xf numFmtId="3" fontId="178" fillId="152" borderId="12" xfId="1" applyNumberFormat="1" applyFont="1" applyFill="1" applyBorder="1" applyAlignment="1">
      <alignment horizontal="right" vertical="center"/>
    </xf>
    <xf numFmtId="167" fontId="178" fillId="152" borderId="12" xfId="1" applyNumberFormat="1" applyFont="1" applyFill="1" applyBorder="1" applyAlignment="1">
      <alignment horizontal="right" vertical="center"/>
    </xf>
    <xf numFmtId="0" fontId="178" fillId="152" borderId="12" xfId="1" applyFont="1" applyFill="1" applyBorder="1" applyAlignment="1">
      <alignment horizontal="center" vertical="center" wrapText="1"/>
    </xf>
    <xf numFmtId="0" fontId="179" fillId="153" borderId="12" xfId="1" applyFont="1" applyFill="1" applyBorder="1" applyAlignment="1">
      <alignment horizontal="left" vertical="center"/>
    </xf>
    <xf numFmtId="3" fontId="179" fillId="153" borderId="12" xfId="1" applyNumberFormat="1" applyFont="1" applyFill="1" applyBorder="1" applyAlignment="1">
      <alignment horizontal="right" vertical="center"/>
    </xf>
    <xf numFmtId="168" fontId="178" fillId="153" borderId="12" xfId="1" applyNumberFormat="1" applyFont="1" applyFill="1" applyBorder="1" applyAlignment="1">
      <alignment horizontal="right" vertical="center"/>
    </xf>
    <xf numFmtId="0" fontId="180" fillId="154" borderId="12" xfId="1" applyFont="1" applyFill="1" applyBorder="1" applyAlignment="1">
      <alignment horizontal="left" vertical="center"/>
    </xf>
    <xf numFmtId="3" fontId="180" fillId="154" borderId="12" xfId="1" applyNumberFormat="1" applyFont="1" applyFill="1" applyBorder="1" applyAlignment="1">
      <alignment horizontal="right" vertical="center"/>
    </xf>
    <xf numFmtId="167" fontId="180" fillId="154" borderId="12" xfId="1" applyNumberFormat="1" applyFont="1" applyFill="1" applyBorder="1" applyAlignment="1">
      <alignment horizontal="right" vertical="center"/>
    </xf>
    <xf numFmtId="0" fontId="180" fillId="154" borderId="12" xfId="1" applyFont="1" applyFill="1" applyBorder="1" applyAlignment="1">
      <alignment horizontal="center" vertical="center" wrapText="1"/>
    </xf>
    <xf numFmtId="0" fontId="181" fillId="155" borderId="12" xfId="1" applyFont="1" applyFill="1" applyBorder="1" applyAlignment="1">
      <alignment horizontal="left" vertical="center"/>
    </xf>
    <xf numFmtId="3" fontId="181" fillId="155" borderId="12" xfId="1" applyNumberFormat="1" applyFont="1" applyFill="1" applyBorder="1" applyAlignment="1">
      <alignment horizontal="right" vertical="center"/>
    </xf>
    <xf numFmtId="168" fontId="181" fillId="155" borderId="12" xfId="1" applyNumberFormat="1" applyFont="1" applyFill="1" applyBorder="1" applyAlignment="1">
      <alignment horizontal="right" vertical="center"/>
    </xf>
    <xf numFmtId="0" fontId="180" fillId="156" borderId="12" xfId="1" applyFont="1" applyFill="1" applyBorder="1" applyAlignment="1">
      <alignment horizontal="left" vertical="center"/>
    </xf>
    <xf numFmtId="3" fontId="180" fillId="156" borderId="12" xfId="1" applyNumberFormat="1" applyFont="1" applyFill="1" applyBorder="1" applyAlignment="1">
      <alignment horizontal="right" vertical="center"/>
    </xf>
    <xf numFmtId="167" fontId="180" fillId="156" borderId="12" xfId="1" applyNumberFormat="1" applyFont="1" applyFill="1" applyBorder="1" applyAlignment="1">
      <alignment horizontal="right" vertical="center"/>
    </xf>
    <xf numFmtId="0" fontId="180" fillId="156" borderId="12" xfId="1" applyFont="1" applyFill="1" applyBorder="1" applyAlignment="1">
      <alignment horizontal="center" vertical="center" wrapText="1"/>
    </xf>
    <xf numFmtId="0" fontId="182" fillId="156" borderId="12" xfId="1" applyFont="1" applyFill="1" applyBorder="1" applyAlignment="1">
      <alignment horizontal="left" vertical="center"/>
    </xf>
    <xf numFmtId="3" fontId="177" fillId="42" borderId="12" xfId="1" applyNumberFormat="1" applyFont="1" applyFill="1" applyBorder="1" applyAlignment="1">
      <alignment horizontal="right" vertical="center"/>
    </xf>
    <xf numFmtId="0" fontId="182" fillId="154" borderId="12" xfId="1" applyFont="1" applyFill="1" applyBorder="1" applyAlignment="1">
      <alignment horizontal="left" vertical="center"/>
    </xf>
    <xf numFmtId="0" fontId="177" fillId="42" borderId="12" xfId="1" applyFont="1" applyFill="1" applyBorder="1" applyAlignment="1">
      <alignment horizontal="center" vertical="center" wrapText="1"/>
    </xf>
    <xf numFmtId="3" fontId="172" fillId="149" borderId="12" xfId="1" applyNumberFormat="1" applyFont="1" applyFill="1" applyBorder="1" applyAlignment="1">
      <alignment horizontal="right" vertical="center"/>
    </xf>
    <xf numFmtId="0" fontId="180" fillId="153" borderId="12" xfId="1" applyFont="1" applyFill="1" applyBorder="1" applyAlignment="1">
      <alignment horizontal="center" vertical="center" wrapText="1"/>
    </xf>
    <xf numFmtId="0" fontId="180" fillId="153" borderId="12" xfId="1" applyFont="1" applyFill="1" applyBorder="1" applyAlignment="1">
      <alignment horizontal="left" vertical="center"/>
    </xf>
    <xf numFmtId="3" fontId="180" fillId="153" borderId="12" xfId="1" applyNumberFormat="1" applyFont="1" applyFill="1" applyBorder="1" applyAlignment="1">
      <alignment horizontal="right" vertical="center"/>
    </xf>
    <xf numFmtId="0" fontId="184" fillId="157" borderId="15" xfId="0" applyFont="1" applyFill="1" applyBorder="1" applyAlignment="1">
      <alignment horizontal="center"/>
    </xf>
    <xf numFmtId="0" fontId="0" fillId="0" borderId="15" xfId="0" applyBorder="1"/>
    <xf numFmtId="0" fontId="185" fillId="0" borderId="0" xfId="0" applyFont="1" applyAlignment="1">
      <alignment vertical="center"/>
    </xf>
    <xf numFmtId="0" fontId="186" fillId="0" borderId="0" xfId="0" applyFont="1" applyAlignment="1">
      <alignment vertical="center"/>
    </xf>
    <xf numFmtId="0" fontId="185" fillId="0" borderId="0" xfId="0" applyFont="1" applyAlignment="1">
      <alignment vertical="center" wrapText="1"/>
    </xf>
    <xf numFmtId="0" fontId="185" fillId="0" borderId="15" xfId="0" applyFont="1" applyBorder="1" applyAlignment="1">
      <alignment vertical="center" wrapText="1"/>
    </xf>
    <xf numFmtId="0" fontId="187" fillId="157" borderId="15" xfId="0" applyFont="1" applyFill="1" applyBorder="1" applyAlignment="1">
      <alignment horizontal="center" vertical="center" wrapText="1"/>
    </xf>
    <xf numFmtId="0" fontId="188" fillId="159" borderId="0" xfId="0" applyFont="1" applyFill="1" applyAlignment="1">
      <alignment vertical="center"/>
    </xf>
    <xf numFmtId="0" fontId="189" fillId="159" borderId="0" xfId="0" applyFont="1" applyFill="1"/>
    <xf numFmtId="0" fontId="6" fillId="162" borderId="16" xfId="0" applyFont="1" applyFill="1" applyBorder="1" applyAlignment="1">
      <alignment horizontal="center" vertical="center"/>
    </xf>
    <xf numFmtId="0" fontId="192" fillId="163" borderId="16" xfId="0" applyFont="1" applyFill="1" applyBorder="1" applyAlignment="1">
      <alignment horizontal="center" vertical="center"/>
    </xf>
    <xf numFmtId="0" fontId="193" fillId="163" borderId="16" xfId="0" applyFont="1" applyFill="1" applyBorder="1" applyAlignment="1">
      <alignment horizontal="left" vertical="center"/>
    </xf>
    <xf numFmtId="0" fontId="192" fillId="163" borderId="16" xfId="0" applyFont="1" applyFill="1" applyBorder="1" applyAlignment="1">
      <alignment horizontal="left" vertical="center" wrapText="1"/>
    </xf>
    <xf numFmtId="0" fontId="194" fillId="160" borderId="16" xfId="0" applyFont="1" applyFill="1" applyBorder="1" applyAlignment="1">
      <alignment horizontal="center" vertical="center"/>
    </xf>
    <xf numFmtId="0" fontId="192" fillId="164" borderId="16" xfId="0" applyFont="1" applyFill="1" applyBorder="1" applyAlignment="1">
      <alignment horizontal="center" vertical="center"/>
    </xf>
    <xf numFmtId="0" fontId="193" fillId="164" borderId="16" xfId="0" applyFont="1" applyFill="1" applyBorder="1" applyAlignment="1">
      <alignment horizontal="left" vertical="center"/>
    </xf>
    <xf numFmtId="0" fontId="192" fillId="164" borderId="16" xfId="0" applyFont="1" applyFill="1" applyBorder="1" applyAlignment="1">
      <alignment horizontal="left" vertical="center" wrapText="1"/>
    </xf>
    <xf numFmtId="0" fontId="194" fillId="162" borderId="16" xfId="0" applyFont="1" applyFill="1" applyBorder="1" applyAlignment="1">
      <alignment horizontal="center" vertical="center"/>
    </xf>
    <xf numFmtId="4" fontId="196" fillId="165" borderId="16" xfId="0" applyNumberFormat="1" applyFont="1" applyFill="1" applyBorder="1" applyAlignment="1">
      <alignment horizontal="right" vertical="center"/>
    </xf>
    <xf numFmtId="0" fontId="196" fillId="165" borderId="16" xfId="0" applyFont="1" applyFill="1" applyBorder="1" applyAlignment="1">
      <alignment horizontal="left" vertical="center"/>
    </xf>
    <xf numFmtId="0" fontId="19" fillId="162" borderId="16" xfId="0" applyFont="1" applyFill="1" applyBorder="1" applyAlignment="1">
      <alignment horizontal="center" vertical="center"/>
    </xf>
    <xf numFmtId="0" fontId="3" fillId="162" borderId="16" xfId="0" applyFont="1" applyFill="1" applyBorder="1" applyAlignment="1">
      <alignment horizontal="center" vertical="center"/>
    </xf>
    <xf numFmtId="0" fontId="114" fillId="162" borderId="16" xfId="0" applyFont="1" applyFill="1" applyBorder="1" applyAlignment="1">
      <alignment horizontal="center" vertical="center" wrapText="1"/>
    </xf>
    <xf numFmtId="0" fontId="3" fillId="166" borderId="16" xfId="0" applyFont="1" applyFill="1" applyBorder="1" applyAlignment="1">
      <alignment horizontal="center" vertical="center"/>
    </xf>
    <xf numFmtId="0" fontId="197" fillId="0" borderId="0" xfId="0" applyFont="1"/>
    <xf numFmtId="0" fontId="3" fillId="167" borderId="16" xfId="0" applyFont="1" applyFill="1" applyBorder="1" applyAlignment="1">
      <alignment horizontal="center" vertical="center" wrapText="1"/>
    </xf>
    <xf numFmtId="0" fontId="3" fillId="167" borderId="16" xfId="0" applyFont="1" applyFill="1" applyBorder="1" applyAlignment="1">
      <alignment horizontal="center" vertical="center"/>
    </xf>
    <xf numFmtId="0" fontId="3" fillId="168" borderId="16" xfId="0" applyFont="1" applyFill="1" applyBorder="1" applyAlignment="1">
      <alignment horizontal="center" vertical="center"/>
    </xf>
    <xf numFmtId="0" fontId="198" fillId="163" borderId="16" xfId="0" applyFont="1" applyFill="1" applyBorder="1" applyAlignment="1">
      <alignment horizontal="left" vertical="center"/>
    </xf>
    <xf numFmtId="3" fontId="198" fillId="163" borderId="16" xfId="0" applyNumberFormat="1" applyFont="1" applyFill="1" applyBorder="1" applyAlignment="1">
      <alignment horizontal="right" vertical="center"/>
    </xf>
    <xf numFmtId="0" fontId="41" fillId="163" borderId="16" xfId="0" applyFont="1" applyFill="1" applyBorder="1" applyAlignment="1">
      <alignment horizontal="center" vertical="center"/>
    </xf>
    <xf numFmtId="0" fontId="198" fillId="164" borderId="16" xfId="0" applyFont="1" applyFill="1" applyBorder="1" applyAlignment="1">
      <alignment horizontal="left" vertical="center"/>
    </xf>
    <xf numFmtId="3" fontId="198" fillId="164" borderId="16" xfId="0" applyNumberFormat="1" applyFont="1" applyFill="1" applyBorder="1" applyAlignment="1">
      <alignment horizontal="right" vertical="center"/>
    </xf>
    <xf numFmtId="0" fontId="41" fillId="164" borderId="16" xfId="0" applyFont="1" applyFill="1" applyBorder="1" applyAlignment="1">
      <alignment horizontal="center" vertical="center"/>
    </xf>
    <xf numFmtId="0" fontId="52" fillId="158" borderId="16" xfId="0" applyFont="1" applyFill="1" applyBorder="1" applyAlignment="1">
      <alignment horizontal="left" vertical="center"/>
    </xf>
    <xf numFmtId="3" fontId="52" fillId="158" borderId="16" xfId="0" applyNumberFormat="1" applyFont="1" applyFill="1" applyBorder="1" applyAlignment="1">
      <alignment horizontal="right" vertical="center"/>
    </xf>
    <xf numFmtId="0" fontId="199" fillId="158" borderId="16" xfId="0" applyFont="1" applyFill="1" applyBorder="1" applyAlignment="1">
      <alignment horizontal="center" vertical="center"/>
    </xf>
    <xf numFmtId="0" fontId="3" fillId="162" borderId="16" xfId="0" applyFont="1" applyFill="1" applyBorder="1" applyAlignment="1">
      <alignment horizontal="center" vertical="center" wrapText="1"/>
    </xf>
    <xf numFmtId="0" fontId="3" fillId="169" borderId="16" xfId="0" applyFont="1" applyFill="1" applyBorder="1" applyAlignment="1">
      <alignment horizontal="center" vertical="center" wrapText="1"/>
    </xf>
    <xf numFmtId="0" fontId="198" fillId="163" borderId="16" xfId="0" applyFont="1" applyFill="1" applyBorder="1" applyAlignment="1">
      <alignment horizontal="right" vertical="center"/>
    </xf>
    <xf numFmtId="3" fontId="200" fillId="163" borderId="17" xfId="0" applyNumberFormat="1" applyFont="1" applyFill="1" applyBorder="1" applyAlignment="1">
      <alignment horizontal="right" vertical="center"/>
    </xf>
    <xf numFmtId="0" fontId="198" fillId="164" borderId="16" xfId="0" applyFont="1" applyFill="1" applyBorder="1" applyAlignment="1">
      <alignment horizontal="right" vertical="center"/>
    </xf>
    <xf numFmtId="3" fontId="200" fillId="164" borderId="17" xfId="0" applyNumberFormat="1" applyFont="1" applyFill="1" applyBorder="1" applyAlignment="1">
      <alignment horizontal="right" vertical="center"/>
    </xf>
    <xf numFmtId="0" fontId="3" fillId="162" borderId="16" xfId="0" applyFont="1" applyFill="1" applyBorder="1" applyAlignment="1">
      <alignment horizontal="right" vertical="center"/>
    </xf>
    <xf numFmtId="3" fontId="3" fillId="169" borderId="17" xfId="0" applyNumberFormat="1" applyFont="1" applyFill="1" applyBorder="1" applyAlignment="1">
      <alignment horizontal="right" vertical="center"/>
    </xf>
    <xf numFmtId="0" fontId="47" fillId="0" borderId="15" xfId="1" applyBorder="1"/>
    <xf numFmtId="0" fontId="202" fillId="170" borderId="18" xfId="0" applyFont="1" applyFill="1" applyBorder="1" applyAlignment="1">
      <alignment horizontal="center" vertical="center"/>
    </xf>
    <xf numFmtId="0" fontId="45" fillId="171" borderId="18" xfId="0" applyFont="1" applyFill="1" applyBorder="1" applyAlignment="1">
      <alignment horizontal="center" vertical="center"/>
    </xf>
    <xf numFmtId="0" fontId="44" fillId="172" borderId="18" xfId="0" applyFont="1" applyFill="1" applyBorder="1" applyAlignment="1">
      <alignment horizontal="center" vertical="center"/>
    </xf>
    <xf numFmtId="0" fontId="203" fillId="173" borderId="18" xfId="0" applyFont="1" applyFill="1" applyBorder="1" applyAlignment="1">
      <alignment horizontal="center" vertical="center"/>
    </xf>
    <xf numFmtId="0" fontId="204" fillId="174" borderId="18" xfId="0" applyFont="1" applyFill="1" applyBorder="1" applyAlignment="1">
      <alignment horizontal="center" vertical="center"/>
    </xf>
    <xf numFmtId="0" fontId="205" fillId="170" borderId="18" xfId="0" applyFont="1" applyFill="1" applyBorder="1" applyAlignment="1">
      <alignment horizontal="center" vertical="center"/>
    </xf>
    <xf numFmtId="0" fontId="206" fillId="171" borderId="18" xfId="0" applyFont="1" applyFill="1" applyBorder="1" applyAlignment="1">
      <alignment horizontal="center" vertical="center"/>
    </xf>
    <xf numFmtId="0" fontId="207" fillId="172" borderId="18" xfId="0" applyFont="1" applyFill="1" applyBorder="1" applyAlignment="1">
      <alignment horizontal="center" vertical="center"/>
    </xf>
    <xf numFmtId="0" fontId="208" fillId="173" borderId="18" xfId="0" applyFont="1" applyFill="1" applyBorder="1" applyAlignment="1">
      <alignment horizontal="center" vertical="center"/>
    </xf>
    <xf numFmtId="0" fontId="209" fillId="174" borderId="18" xfId="0" applyFont="1" applyFill="1" applyBorder="1" applyAlignment="1">
      <alignment horizontal="center" vertical="center"/>
    </xf>
    <xf numFmtId="0" fontId="3" fillId="162" borderId="18" xfId="0" applyFont="1" applyFill="1" applyBorder="1" applyAlignment="1">
      <alignment horizontal="center" vertical="center" wrapText="1"/>
    </xf>
    <xf numFmtId="0" fontId="70" fillId="175" borderId="18" xfId="0" applyFont="1" applyFill="1" applyBorder="1" applyAlignment="1">
      <alignment horizontal="center" vertical="center"/>
    </xf>
    <xf numFmtId="0" fontId="70" fillId="175" borderId="18" xfId="0" applyFont="1" applyFill="1" applyBorder="1" applyAlignment="1">
      <alignment horizontal="left" vertical="center"/>
    </xf>
    <xf numFmtId="0" fontId="21" fillId="172" borderId="18" xfId="0" applyFont="1" applyFill="1" applyBorder="1" applyAlignment="1">
      <alignment horizontal="center" vertical="center"/>
    </xf>
    <xf numFmtId="0" fontId="70" fillId="164" borderId="18" xfId="0" applyFont="1" applyFill="1" applyBorder="1" applyAlignment="1">
      <alignment horizontal="center" vertical="center"/>
    </xf>
    <xf numFmtId="0" fontId="70" fillId="164" borderId="18" xfId="0" applyFont="1" applyFill="1" applyBorder="1" applyAlignment="1">
      <alignment horizontal="left" vertical="center"/>
    </xf>
    <xf numFmtId="0" fontId="20" fillId="171" borderId="18" xfId="0" applyFont="1" applyFill="1" applyBorder="1" applyAlignment="1">
      <alignment horizontal="center" vertical="center"/>
    </xf>
    <xf numFmtId="0" fontId="20" fillId="171" borderId="18" xfId="0" applyFont="1" applyFill="1" applyBorder="1" applyAlignment="1">
      <alignment horizontal="left" vertical="center"/>
    </xf>
    <xf numFmtId="0" fontId="113" fillId="171" borderId="18" xfId="0" applyFont="1" applyFill="1" applyBorder="1" applyAlignment="1">
      <alignment horizontal="center" vertical="center"/>
    </xf>
    <xf numFmtId="0" fontId="70" fillId="173" borderId="18" xfId="0" applyFont="1" applyFill="1" applyBorder="1" applyAlignment="1">
      <alignment horizontal="center" vertical="center"/>
    </xf>
    <xf numFmtId="0" fontId="70" fillId="173" borderId="18" xfId="0" applyFont="1" applyFill="1" applyBorder="1" applyAlignment="1">
      <alignment horizontal="left" vertical="center"/>
    </xf>
    <xf numFmtId="0" fontId="3" fillId="176" borderId="18" xfId="0" applyFont="1" applyFill="1" applyBorder="1" applyAlignment="1">
      <alignment horizontal="center" vertical="center" wrapText="1"/>
    </xf>
    <xf numFmtId="0" fontId="113" fillId="171" borderId="18" xfId="0" applyFont="1" applyFill="1" applyBorder="1" applyAlignment="1">
      <alignment horizontal="left" vertical="center"/>
    </xf>
    <xf numFmtId="0" fontId="20" fillId="177" borderId="18" xfId="0" applyFont="1" applyFill="1" applyBorder="1" applyAlignment="1">
      <alignment horizontal="center" vertical="center"/>
    </xf>
    <xf numFmtId="0" fontId="20" fillId="177" borderId="18" xfId="0" applyFont="1" applyFill="1" applyBorder="1" applyAlignment="1">
      <alignment horizontal="left" vertical="center"/>
    </xf>
    <xf numFmtId="0" fontId="113" fillId="177" borderId="18" xfId="0" applyFont="1" applyFill="1" applyBorder="1" applyAlignment="1">
      <alignment horizontal="left" vertical="center"/>
    </xf>
    <xf numFmtId="0" fontId="3" fillId="178" borderId="18" xfId="0" applyFont="1" applyFill="1" applyBorder="1" applyAlignment="1">
      <alignment horizontal="center" vertical="center" wrapText="1"/>
    </xf>
    <xf numFmtId="167" fontId="34" fillId="172" borderId="18" xfId="0" applyNumberFormat="1" applyFont="1" applyFill="1" applyBorder="1" applyAlignment="1">
      <alignment horizontal="center" vertical="center"/>
    </xf>
    <xf numFmtId="167" fontId="113" fillId="171" borderId="18" xfId="0" applyNumberFormat="1" applyFont="1" applyFill="1" applyBorder="1" applyAlignment="1">
      <alignment horizontal="center" vertical="center"/>
    </xf>
    <xf numFmtId="0" fontId="202" fillId="0" borderId="0" xfId="0" applyFont="1" applyAlignment="1">
      <alignment vertical="center"/>
    </xf>
    <xf numFmtId="0" fontId="41" fillId="172" borderId="21" xfId="0" applyFont="1" applyFill="1" applyBorder="1" applyAlignment="1">
      <alignment horizontal="left" vertical="center"/>
    </xf>
    <xf numFmtId="0" fontId="34" fillId="172" borderId="21" xfId="0" applyFont="1" applyFill="1" applyBorder="1" applyAlignment="1">
      <alignment horizontal="center" vertical="center"/>
    </xf>
    <xf numFmtId="0" fontId="212" fillId="172" borderId="21" xfId="0" applyFont="1" applyFill="1" applyBorder="1" applyAlignment="1">
      <alignment horizontal="center" vertical="center"/>
    </xf>
    <xf numFmtId="169" fontId="34" fillId="172" borderId="21" xfId="0" applyNumberFormat="1" applyFont="1" applyFill="1" applyBorder="1" applyAlignment="1">
      <alignment horizontal="center" vertical="center"/>
    </xf>
    <xf numFmtId="0" fontId="34" fillId="172" borderId="21" xfId="0" applyFont="1" applyFill="1" applyBorder="1" applyAlignment="1">
      <alignment horizontal="left" vertical="center"/>
    </xf>
    <xf numFmtId="0" fontId="21" fillId="172" borderId="21" xfId="0" applyFont="1" applyFill="1" applyBorder="1" applyAlignment="1">
      <alignment horizontal="left" vertical="center"/>
    </xf>
    <xf numFmtId="0" fontId="41" fillId="164" borderId="21" xfId="0" applyFont="1" applyFill="1" applyBorder="1" applyAlignment="1">
      <alignment horizontal="left" vertical="center"/>
    </xf>
    <xf numFmtId="0" fontId="34" fillId="164" borderId="21" xfId="0" applyFont="1" applyFill="1" applyBorder="1" applyAlignment="1">
      <alignment horizontal="center" vertical="center"/>
    </xf>
    <xf numFmtId="0" fontId="212" fillId="164" borderId="21" xfId="0" applyFont="1" applyFill="1" applyBorder="1" applyAlignment="1">
      <alignment horizontal="center" vertical="center"/>
    </xf>
    <xf numFmtId="169" fontId="34" fillId="164" borderId="21" xfId="0" applyNumberFormat="1" applyFont="1" applyFill="1" applyBorder="1" applyAlignment="1">
      <alignment horizontal="center" vertical="center"/>
    </xf>
    <xf numFmtId="0" fontId="34" fillId="164" borderId="21" xfId="0" applyFont="1" applyFill="1" applyBorder="1" applyAlignment="1">
      <alignment horizontal="left" vertical="center"/>
    </xf>
    <xf numFmtId="0" fontId="21" fillId="164" borderId="21" xfId="0" applyFont="1" applyFill="1" applyBorder="1" applyAlignment="1">
      <alignment horizontal="left" vertical="center"/>
    </xf>
    <xf numFmtId="0" fontId="3" fillId="166" borderId="21" xfId="0" applyFont="1" applyFill="1" applyBorder="1" applyAlignment="1">
      <alignment horizontal="center" vertical="center" wrapText="1"/>
    </xf>
    <xf numFmtId="0" fontId="45" fillId="171" borderId="21" xfId="0" applyFont="1" applyFill="1" applyBorder="1" applyAlignment="1">
      <alignment horizontal="left" vertical="center"/>
    </xf>
    <xf numFmtId="0" fontId="20" fillId="171" borderId="21" xfId="0" applyFont="1" applyFill="1" applyBorder="1" applyAlignment="1">
      <alignment horizontal="center" vertical="center"/>
    </xf>
    <xf numFmtId="0" fontId="213" fillId="171" borderId="21" xfId="0" applyFont="1" applyFill="1" applyBorder="1" applyAlignment="1">
      <alignment horizontal="center" vertical="center"/>
    </xf>
    <xf numFmtId="169" fontId="20" fillId="171" borderId="21" xfId="0" applyNumberFormat="1" applyFont="1" applyFill="1" applyBorder="1" applyAlignment="1">
      <alignment horizontal="center" vertical="center"/>
    </xf>
    <xf numFmtId="0" fontId="20" fillId="171" borderId="21" xfId="0" applyFont="1" applyFill="1" applyBorder="1" applyAlignment="1">
      <alignment horizontal="left" vertical="center"/>
    </xf>
    <xf numFmtId="0" fontId="113" fillId="171" borderId="21" xfId="0" applyFont="1" applyFill="1" applyBorder="1" applyAlignment="1">
      <alignment horizontal="left" vertical="center"/>
    </xf>
    <xf numFmtId="0" fontId="45" fillId="164" borderId="21" xfId="0" applyFont="1" applyFill="1" applyBorder="1" applyAlignment="1">
      <alignment horizontal="left" vertical="center"/>
    </xf>
    <xf numFmtId="0" fontId="20" fillId="164" borderId="21" xfId="0" applyFont="1" applyFill="1" applyBorder="1" applyAlignment="1">
      <alignment horizontal="center" vertical="center"/>
    </xf>
    <xf numFmtId="0" fontId="213" fillId="164" borderId="21" xfId="0" applyFont="1" applyFill="1" applyBorder="1" applyAlignment="1">
      <alignment horizontal="center" vertical="center"/>
    </xf>
    <xf numFmtId="169" fontId="20" fillId="164" borderId="21" xfId="0" applyNumberFormat="1" applyFont="1" applyFill="1" applyBorder="1" applyAlignment="1">
      <alignment horizontal="center" vertical="center"/>
    </xf>
    <xf numFmtId="0" fontId="20" fillId="164" borderId="21" xfId="0" applyFont="1" applyFill="1" applyBorder="1" applyAlignment="1">
      <alignment horizontal="left" vertical="center"/>
    </xf>
    <xf numFmtId="0" fontId="113" fillId="164" borderId="21" xfId="0" applyFont="1" applyFill="1" applyBorder="1" applyAlignment="1">
      <alignment horizontal="left" vertical="center"/>
    </xf>
    <xf numFmtId="0" fontId="3" fillId="176" borderId="21" xfId="0" applyFont="1" applyFill="1" applyBorder="1" applyAlignment="1">
      <alignment horizontal="center" vertical="center" wrapText="1"/>
    </xf>
    <xf numFmtId="0" fontId="204" fillId="174" borderId="21" xfId="0" applyFont="1" applyFill="1" applyBorder="1" applyAlignment="1">
      <alignment horizontal="left" vertical="center"/>
    </xf>
    <xf numFmtId="0" fontId="214" fillId="174" borderId="21" xfId="0" applyFont="1" applyFill="1" applyBorder="1" applyAlignment="1">
      <alignment horizontal="center" vertical="center"/>
    </xf>
    <xf numFmtId="0" fontId="215" fillId="174" borderId="21" xfId="0" applyFont="1" applyFill="1" applyBorder="1" applyAlignment="1">
      <alignment horizontal="center" vertical="center"/>
    </xf>
    <xf numFmtId="169" fontId="214" fillId="174" borderId="21" xfId="0" applyNumberFormat="1" applyFont="1" applyFill="1" applyBorder="1" applyAlignment="1">
      <alignment horizontal="center" vertical="center"/>
    </xf>
    <xf numFmtId="0" fontId="214" fillId="174" borderId="21" xfId="0" applyFont="1" applyFill="1" applyBorder="1" applyAlignment="1">
      <alignment horizontal="left" vertical="center"/>
    </xf>
    <xf numFmtId="0" fontId="210" fillId="174" borderId="21" xfId="0" applyFont="1" applyFill="1" applyBorder="1" applyAlignment="1">
      <alignment horizontal="left" vertical="center"/>
    </xf>
    <xf numFmtId="0" fontId="204" fillId="164" borderId="21" xfId="0" applyFont="1" applyFill="1" applyBorder="1" applyAlignment="1">
      <alignment horizontal="left" vertical="center"/>
    </xf>
    <xf numFmtId="0" fontId="214" fillId="164" borderId="21" xfId="0" applyFont="1" applyFill="1" applyBorder="1" applyAlignment="1">
      <alignment horizontal="center" vertical="center"/>
    </xf>
    <xf numFmtId="0" fontId="215" fillId="164" borderId="21" xfId="0" applyFont="1" applyFill="1" applyBorder="1" applyAlignment="1">
      <alignment horizontal="center" vertical="center"/>
    </xf>
    <xf numFmtId="169" fontId="214" fillId="164" borderId="21" xfId="0" applyNumberFormat="1" applyFont="1" applyFill="1" applyBorder="1" applyAlignment="1">
      <alignment horizontal="center" vertical="center"/>
    </xf>
    <xf numFmtId="0" fontId="214" fillId="164" borderId="21" xfId="0" applyFont="1" applyFill="1" applyBorder="1" applyAlignment="1">
      <alignment horizontal="left" vertical="center"/>
    </xf>
    <xf numFmtId="0" fontId="210" fillId="164" borderId="21" xfId="0" applyFont="1" applyFill="1" applyBorder="1" applyAlignment="1">
      <alignment horizontal="left" vertical="center"/>
    </xf>
    <xf numFmtId="0" fontId="3" fillId="179" borderId="21" xfId="0" applyFont="1" applyFill="1" applyBorder="1" applyAlignment="1">
      <alignment horizontal="center" vertical="center" wrapText="1"/>
    </xf>
    <xf numFmtId="0" fontId="216" fillId="170" borderId="21" xfId="0" applyFont="1" applyFill="1" applyBorder="1" applyAlignment="1">
      <alignment horizontal="left" vertical="center"/>
    </xf>
    <xf numFmtId="0" fontId="217" fillId="170" borderId="21" xfId="0" applyFont="1" applyFill="1" applyBorder="1" applyAlignment="1">
      <alignment horizontal="center" vertical="center"/>
    </xf>
    <xf numFmtId="0" fontId="218" fillId="170" borderId="21" xfId="0" applyFont="1" applyFill="1" applyBorder="1" applyAlignment="1">
      <alignment horizontal="center" vertical="center"/>
    </xf>
    <xf numFmtId="169" fontId="217" fillId="170" borderId="21" xfId="0" applyNumberFormat="1" applyFont="1" applyFill="1" applyBorder="1" applyAlignment="1">
      <alignment horizontal="center" vertical="center"/>
    </xf>
    <xf numFmtId="0" fontId="217" fillId="170" borderId="21" xfId="0" applyFont="1" applyFill="1" applyBorder="1" applyAlignment="1">
      <alignment horizontal="left" vertical="center"/>
    </xf>
    <xf numFmtId="0" fontId="117" fillId="170" borderId="21" xfId="0" applyFont="1" applyFill="1" applyBorder="1" applyAlignment="1">
      <alignment horizontal="left" vertical="center"/>
    </xf>
    <xf numFmtId="0" fontId="216" fillId="164" borderId="21" xfId="0" applyFont="1" applyFill="1" applyBorder="1" applyAlignment="1">
      <alignment horizontal="left" vertical="center"/>
    </xf>
    <xf numFmtId="0" fontId="217" fillId="164" borderId="21" xfId="0" applyFont="1" applyFill="1" applyBorder="1" applyAlignment="1">
      <alignment horizontal="center" vertical="center"/>
    </xf>
    <xf numFmtId="0" fontId="218" fillId="164" borderId="21" xfId="0" applyFont="1" applyFill="1" applyBorder="1" applyAlignment="1">
      <alignment horizontal="center" vertical="center"/>
    </xf>
    <xf numFmtId="169" fontId="217" fillId="164" borderId="21" xfId="0" applyNumberFormat="1" applyFont="1" applyFill="1" applyBorder="1" applyAlignment="1">
      <alignment horizontal="center" vertical="center"/>
    </xf>
    <xf numFmtId="0" fontId="217" fillId="164" borderId="21" xfId="0" applyFont="1" applyFill="1" applyBorder="1" applyAlignment="1">
      <alignment horizontal="left" vertical="center"/>
    </xf>
    <xf numFmtId="0" fontId="117" fillId="164" borderId="21" xfId="0" applyFont="1" applyFill="1" applyBorder="1" applyAlignment="1">
      <alignment horizontal="left" vertical="center"/>
    </xf>
    <xf numFmtId="0" fontId="3" fillId="160" borderId="21" xfId="0" applyFont="1" applyFill="1" applyBorder="1" applyAlignment="1">
      <alignment horizontal="center" vertical="center" wrapText="1"/>
    </xf>
    <xf numFmtId="0" fontId="203" fillId="164" borderId="21" xfId="0" applyFont="1" applyFill="1" applyBorder="1" applyAlignment="1">
      <alignment horizontal="left" vertical="center"/>
    </xf>
    <xf numFmtId="0" fontId="219" fillId="164" borderId="21" xfId="0" applyFont="1" applyFill="1" applyBorder="1" applyAlignment="1">
      <alignment horizontal="center" vertical="center"/>
    </xf>
    <xf numFmtId="0" fontId="220" fillId="164" borderId="21" xfId="0" applyFont="1" applyFill="1" applyBorder="1" applyAlignment="1">
      <alignment horizontal="center" vertical="center"/>
    </xf>
    <xf numFmtId="169" fontId="219" fillId="164" borderId="21" xfId="0" applyNumberFormat="1" applyFont="1" applyFill="1" applyBorder="1" applyAlignment="1">
      <alignment horizontal="center" vertical="center"/>
    </xf>
    <xf numFmtId="0" fontId="219" fillId="164" borderId="21" xfId="0" applyFont="1" applyFill="1" applyBorder="1" applyAlignment="1">
      <alignment horizontal="left" vertical="center"/>
    </xf>
    <xf numFmtId="0" fontId="211" fillId="164" borderId="21" xfId="0" applyFont="1" applyFill="1" applyBorder="1" applyAlignment="1">
      <alignment horizontal="left" vertical="center"/>
    </xf>
    <xf numFmtId="0" fontId="203" fillId="173" borderId="21" xfId="0" applyFont="1" applyFill="1" applyBorder="1" applyAlignment="1">
      <alignment horizontal="left" vertical="center"/>
    </xf>
    <xf numFmtId="0" fontId="219" fillId="173" borderId="21" xfId="0" applyFont="1" applyFill="1" applyBorder="1" applyAlignment="1">
      <alignment horizontal="center" vertical="center"/>
    </xf>
    <xf numFmtId="0" fontId="220" fillId="173" borderId="21" xfId="0" applyFont="1" applyFill="1" applyBorder="1" applyAlignment="1">
      <alignment horizontal="center" vertical="center"/>
    </xf>
    <xf numFmtId="169" fontId="219" fillId="173" borderId="21" xfId="0" applyNumberFormat="1" applyFont="1" applyFill="1" applyBorder="1" applyAlignment="1">
      <alignment horizontal="center" vertical="center"/>
    </xf>
    <xf numFmtId="0" fontId="219" fillId="173" borderId="21" xfId="0" applyFont="1" applyFill="1" applyBorder="1" applyAlignment="1">
      <alignment horizontal="left" vertical="center"/>
    </xf>
    <xf numFmtId="0" fontId="211" fillId="173" borderId="21" xfId="0" applyFont="1" applyFill="1" applyBorder="1" applyAlignment="1">
      <alignment horizontal="left" vertical="center"/>
    </xf>
    <xf numFmtId="0" fontId="3" fillId="180" borderId="21" xfId="0" applyFont="1" applyFill="1" applyBorder="1" applyAlignment="1">
      <alignment horizontal="center" vertical="center" wrapText="1"/>
    </xf>
    <xf numFmtId="0" fontId="110" fillId="160" borderId="0" xfId="0" applyFont="1" applyFill="1" applyAlignment="1">
      <alignment horizontal="center" vertical="center"/>
    </xf>
    <xf numFmtId="0" fontId="0" fillId="0" borderId="0" xfId="0"/>
    <xf numFmtId="0" fontId="191" fillId="161" borderId="0" xfId="0" applyFont="1" applyFill="1" applyAlignment="1">
      <alignment horizontal="center" vertical="center"/>
    </xf>
    <xf numFmtId="0" fontId="195" fillId="161" borderId="0" xfId="0" applyFont="1" applyFill="1" applyAlignment="1">
      <alignment horizontal="center" vertical="center"/>
    </xf>
    <xf numFmtId="0" fontId="4" fillId="5" borderId="0" xfId="0" applyFont="1" applyFill="1" applyAlignment="1">
      <alignment horizontal="center" vertical="center"/>
    </xf>
    <xf numFmtId="0" fontId="5" fillId="6" borderId="0" xfId="0" applyFont="1" applyFill="1" applyAlignment="1">
      <alignment horizontal="center" vertical="center"/>
    </xf>
    <xf numFmtId="0" fontId="2" fillId="15" borderId="0" xfId="0" applyFont="1" applyFill="1" applyAlignment="1">
      <alignment horizontal="center" vertical="center"/>
    </xf>
    <xf numFmtId="0" fontId="29" fillId="5" borderId="0" xfId="0" applyFont="1" applyFill="1" applyAlignment="1">
      <alignment horizontal="center" vertical="center"/>
    </xf>
    <xf numFmtId="0" fontId="30" fillId="6" borderId="0" xfId="0" applyFont="1" applyFill="1" applyAlignment="1">
      <alignment horizontal="center" vertical="center"/>
    </xf>
    <xf numFmtId="0" fontId="31" fillId="7" borderId="0" xfId="0" applyFont="1" applyFill="1" applyAlignment="1">
      <alignment horizontal="left" vertical="center" indent="2"/>
    </xf>
    <xf numFmtId="0" fontId="46" fillId="25" borderId="0" xfId="0" applyFont="1" applyFill="1" applyAlignment="1">
      <alignment horizontal="center" vertical="center" wrapText="1"/>
    </xf>
    <xf numFmtId="0" fontId="31" fillId="40" borderId="0" xfId="1" applyFont="1" applyFill="1" applyAlignment="1">
      <alignment horizontal="center" vertical="center"/>
    </xf>
    <xf numFmtId="0" fontId="48" fillId="0" borderId="0" xfId="1" applyFont="1" applyAlignment="1">
      <alignment horizontal="center" vertical="center"/>
    </xf>
    <xf numFmtId="0" fontId="28" fillId="44" borderId="0" xfId="1" applyFont="1" applyFill="1" applyAlignment="1">
      <alignment horizontal="center" vertical="center"/>
    </xf>
    <xf numFmtId="0" fontId="50" fillId="45" borderId="0" xfId="1" applyFont="1" applyFill="1" applyAlignment="1">
      <alignment horizontal="center" vertical="center"/>
    </xf>
    <xf numFmtId="0" fontId="32" fillId="62" borderId="4" xfId="1" applyFont="1" applyFill="1" applyBorder="1" applyAlignment="1">
      <alignment horizontal="left" vertical="center"/>
    </xf>
    <xf numFmtId="0" fontId="32" fillId="49" borderId="4" xfId="1" applyFont="1" applyFill="1" applyBorder="1" applyAlignment="1">
      <alignment horizontal="left" vertical="center"/>
    </xf>
    <xf numFmtId="0" fontId="32" fillId="68" borderId="4" xfId="1" applyFont="1" applyFill="1" applyBorder="1" applyAlignment="1">
      <alignment horizontal="left" vertical="center"/>
    </xf>
    <xf numFmtId="0" fontId="53" fillId="46" borderId="0" xfId="1" applyFont="1" applyFill="1" applyAlignment="1">
      <alignment horizontal="left" vertical="center"/>
    </xf>
    <xf numFmtId="0" fontId="54" fillId="47" borderId="0" xfId="1" applyFont="1" applyFill="1" applyAlignment="1">
      <alignment horizontal="left" vertical="center"/>
    </xf>
    <xf numFmtId="0" fontId="32" fillId="58" borderId="4" xfId="1" applyFont="1" applyFill="1" applyBorder="1" applyAlignment="1">
      <alignment horizontal="left" vertical="center"/>
    </xf>
    <xf numFmtId="0" fontId="32" fillId="71" borderId="4" xfId="1" applyFont="1" applyFill="1" applyBorder="1" applyAlignment="1">
      <alignment horizontal="left" vertical="center"/>
    </xf>
    <xf numFmtId="0" fontId="32" fillId="70" borderId="4" xfId="1" applyFont="1" applyFill="1" applyBorder="1" applyAlignment="1">
      <alignment horizontal="left" vertical="center"/>
    </xf>
    <xf numFmtId="0" fontId="32" fillId="80" borderId="4" xfId="1" applyFont="1" applyFill="1" applyBorder="1" applyAlignment="1">
      <alignment horizontal="left" vertical="center"/>
    </xf>
    <xf numFmtId="0" fontId="32" fillId="105" borderId="4" xfId="1" applyFont="1" applyFill="1" applyBorder="1" applyAlignment="1">
      <alignment horizontal="left" vertical="center"/>
    </xf>
    <xf numFmtId="0" fontId="32" fillId="109" borderId="4" xfId="1" applyFont="1" applyFill="1" applyBorder="1" applyAlignment="1">
      <alignment horizontal="left" vertical="center"/>
    </xf>
    <xf numFmtId="0" fontId="32" fillId="50" borderId="4" xfId="1" applyFont="1" applyFill="1" applyBorder="1" applyAlignment="1">
      <alignment horizontal="left" vertical="center"/>
    </xf>
    <xf numFmtId="0" fontId="29" fillId="86" borderId="0" xfId="1" applyFont="1" applyFill="1" applyAlignment="1">
      <alignment horizontal="left" vertical="center"/>
    </xf>
    <xf numFmtId="0" fontId="95" fillId="87" borderId="0" xfId="1" applyFont="1" applyFill="1" applyAlignment="1">
      <alignment horizontal="left" vertical="center"/>
    </xf>
    <xf numFmtId="0" fontId="32" fillId="89" borderId="4" xfId="1" applyFont="1" applyFill="1" applyBorder="1" applyAlignment="1">
      <alignment horizontal="left" vertical="center"/>
    </xf>
    <xf numFmtId="0" fontId="201" fillId="0" borderId="0" xfId="0" applyFont="1" applyAlignment="1">
      <alignment horizontal="left" vertical="center"/>
    </xf>
    <xf numFmtId="0" fontId="6" fillId="162" borderId="18" xfId="0" applyFont="1" applyFill="1" applyBorder="1" applyAlignment="1">
      <alignment horizontal="left" vertical="center"/>
    </xf>
    <xf numFmtId="0" fontId="0" fillId="0" borderId="19" xfId="0" applyBorder="1"/>
    <xf numFmtId="0" fontId="0" fillId="0" borderId="20" xfId="0" applyBorder="1"/>
    <xf numFmtId="0" fontId="6" fillId="176" borderId="18" xfId="0" applyFont="1" applyFill="1" applyBorder="1" applyAlignment="1">
      <alignment horizontal="left" vertical="center"/>
    </xf>
    <xf numFmtId="0" fontId="6" fillId="178" borderId="18" xfId="0" applyFont="1" applyFill="1" applyBorder="1" applyAlignment="1">
      <alignment horizontal="left" vertical="center"/>
    </xf>
    <xf numFmtId="0" fontId="110" fillId="5" borderId="0" xfId="0" applyFont="1" applyFill="1" applyAlignment="1">
      <alignment horizontal="center" vertical="center" wrapText="1"/>
    </xf>
    <xf numFmtId="0" fontId="111" fillId="7" borderId="0" xfId="0" applyFont="1" applyFill="1" applyAlignment="1">
      <alignment horizontal="center" vertical="center" wrapText="1"/>
    </xf>
    <xf numFmtId="0" fontId="114" fillId="5" borderId="7" xfId="0" applyFont="1" applyFill="1" applyBorder="1" applyAlignment="1">
      <alignment horizontal="center" vertical="center" wrapText="1"/>
    </xf>
    <xf numFmtId="0" fontId="114" fillId="114" borderId="7" xfId="0" applyFont="1" applyFill="1" applyBorder="1" applyAlignment="1">
      <alignment horizontal="center" vertical="center" wrapText="1"/>
    </xf>
    <xf numFmtId="0" fontId="114" fillId="117" borderId="7" xfId="0" applyFont="1" applyFill="1" applyBorder="1" applyAlignment="1">
      <alignment horizontal="center" vertical="center" wrapText="1"/>
    </xf>
    <xf numFmtId="0" fontId="115" fillId="115" borderId="7" xfId="0" applyFont="1" applyFill="1" applyBorder="1" applyAlignment="1">
      <alignment horizontal="center" vertical="center" wrapText="1"/>
    </xf>
    <xf numFmtId="0" fontId="114" fillId="22" borderId="7" xfId="0" applyFont="1" applyFill="1" applyBorder="1" applyAlignment="1">
      <alignment horizontal="center" vertical="center" wrapText="1"/>
    </xf>
    <xf numFmtId="0" fontId="6" fillId="160" borderId="21" xfId="0" applyFont="1" applyFill="1" applyBorder="1" applyAlignment="1">
      <alignment horizontal="left" vertical="center"/>
    </xf>
    <xf numFmtId="0" fontId="0" fillId="0" borderId="23" xfId="0" applyBorder="1"/>
    <xf numFmtId="0" fontId="0" fillId="0" borderId="22" xfId="0" applyBorder="1"/>
    <xf numFmtId="0" fontId="6" fillId="180" borderId="21" xfId="0" applyFont="1" applyFill="1" applyBorder="1" applyAlignment="1">
      <alignment horizontal="left" vertical="center"/>
    </xf>
    <xf numFmtId="0" fontId="205" fillId="0" borderId="0" xfId="0" applyFont="1" applyAlignment="1">
      <alignment horizontal="left" vertical="center"/>
    </xf>
    <xf numFmtId="0" fontId="6" fillId="176" borderId="21" xfId="0" applyFont="1" applyFill="1" applyBorder="1" applyAlignment="1">
      <alignment horizontal="left" vertical="center"/>
    </xf>
    <xf numFmtId="0" fontId="6" fillId="166" borderId="21" xfId="0" applyFont="1" applyFill="1" applyBorder="1" applyAlignment="1">
      <alignment horizontal="left" vertical="center"/>
    </xf>
    <xf numFmtId="0" fontId="6" fillId="179" borderId="21" xfId="0" applyFont="1" applyFill="1" applyBorder="1" applyAlignment="1">
      <alignment horizontal="left" vertical="center"/>
    </xf>
    <xf numFmtId="0" fontId="6" fillId="7" borderId="0" xfId="0" applyFont="1" applyFill="1" applyAlignment="1">
      <alignment horizontal="left" vertical="center" wrapText="1"/>
    </xf>
    <xf numFmtId="0" fontId="6" fillId="114" borderId="0" xfId="0" applyFont="1" applyFill="1" applyAlignment="1">
      <alignment horizontal="left" vertical="center" wrapText="1"/>
    </xf>
    <xf numFmtId="0" fontId="6" fillId="120" borderId="0" xfId="0" applyFont="1" applyFill="1" applyAlignment="1">
      <alignment horizontal="left" vertical="center" wrapText="1"/>
    </xf>
    <xf numFmtId="0" fontId="114" fillId="7" borderId="7" xfId="0" applyFont="1" applyFill="1" applyBorder="1" applyAlignment="1">
      <alignment horizontal="center" vertical="center" wrapText="1"/>
    </xf>
    <xf numFmtId="0" fontId="114" fillId="120" borderId="7" xfId="0" applyFont="1" applyFill="1" applyBorder="1" applyAlignment="1">
      <alignment horizontal="center" vertical="center" wrapText="1"/>
    </xf>
    <xf numFmtId="0" fontId="134" fillId="5" borderId="0" xfId="0" applyFont="1" applyFill="1" applyAlignment="1">
      <alignment horizontal="center" vertical="center" wrapText="1"/>
    </xf>
    <xf numFmtId="0" fontId="114" fillId="122" borderId="7" xfId="0" applyFont="1" applyFill="1" applyBorder="1" applyAlignment="1">
      <alignment horizontal="center" vertical="center" wrapText="1"/>
    </xf>
    <xf numFmtId="0" fontId="6" fillId="137" borderId="7" xfId="0" applyFont="1" applyFill="1" applyBorder="1" applyAlignment="1">
      <alignment horizontal="left" vertical="center" wrapText="1"/>
    </xf>
    <xf numFmtId="0" fontId="6" fillId="136" borderId="7" xfId="0" applyFont="1" applyFill="1" applyBorder="1" applyAlignment="1">
      <alignment horizontal="left" vertical="center" wrapText="1"/>
    </xf>
    <xf numFmtId="0" fontId="143" fillId="126" borderId="6" xfId="0" applyFont="1" applyFill="1" applyBorder="1" applyAlignment="1">
      <alignment horizontal="center" vertical="center" wrapText="1"/>
    </xf>
    <xf numFmtId="0" fontId="0" fillId="0" borderId="9" xfId="0" applyBorder="1"/>
    <xf numFmtId="0" fontId="0" fillId="0" borderId="10" xfId="0" applyBorder="1"/>
    <xf numFmtId="0" fontId="137" fillId="116" borderId="6" xfId="0" applyFont="1" applyFill="1" applyBorder="1" applyAlignment="1">
      <alignment horizontal="left" vertical="center" wrapText="1"/>
    </xf>
    <xf numFmtId="0" fontId="6" fillId="134" borderId="7" xfId="0" applyFont="1" applyFill="1" applyBorder="1" applyAlignment="1">
      <alignment horizontal="left" vertical="center" wrapText="1"/>
    </xf>
    <xf numFmtId="0" fontId="146" fillId="124" borderId="6" xfId="0" applyFont="1" applyFill="1" applyBorder="1" applyAlignment="1">
      <alignment horizontal="center" vertical="center" wrapText="1"/>
    </xf>
    <xf numFmtId="0" fontId="6" fillId="138" borderId="7" xfId="0" applyFont="1" applyFill="1" applyBorder="1" applyAlignment="1">
      <alignment horizontal="left" vertical="center" wrapText="1"/>
    </xf>
    <xf numFmtId="0" fontId="149" fillId="129" borderId="6" xfId="0" applyFont="1" applyFill="1" applyBorder="1" applyAlignment="1">
      <alignment horizontal="center" vertical="center" wrapText="1"/>
    </xf>
    <xf numFmtId="0" fontId="156" fillId="125" borderId="6" xfId="0" applyFont="1" applyFill="1" applyBorder="1" applyAlignment="1">
      <alignment horizontal="center" vertical="center" wrapText="1"/>
    </xf>
    <xf numFmtId="0" fontId="151" fillId="128" borderId="6" xfId="0" applyFont="1" applyFill="1" applyBorder="1" applyAlignment="1">
      <alignment horizontal="center" vertical="center" wrapText="1"/>
    </xf>
    <xf numFmtId="0" fontId="6" fillId="133" borderId="7" xfId="0" applyFont="1" applyFill="1" applyBorder="1" applyAlignment="1">
      <alignment horizontal="left" vertical="center" wrapText="1"/>
    </xf>
    <xf numFmtId="0" fontId="154" fillId="127" borderId="6" xfId="0" applyFont="1" applyFill="1" applyBorder="1" applyAlignment="1">
      <alignment horizontal="center" vertical="center" wrapText="1"/>
    </xf>
    <xf numFmtId="0" fontId="6" fillId="131" borderId="7" xfId="0" applyFont="1" applyFill="1" applyBorder="1" applyAlignment="1">
      <alignment horizontal="left" vertical="center" wrapText="1"/>
    </xf>
    <xf numFmtId="0" fontId="159" fillId="139" borderId="0" xfId="0" applyFont="1" applyFill="1" applyAlignment="1">
      <alignment horizontal="center" vertical="center" wrapText="1"/>
    </xf>
    <xf numFmtId="0" fontId="111" fillId="5" borderId="0" xfId="0" applyFont="1" applyFill="1" applyAlignment="1">
      <alignment horizontal="center" vertical="center" wrapText="1"/>
    </xf>
    <xf numFmtId="0" fontId="114" fillId="138" borderId="7" xfId="0" applyFont="1" applyFill="1" applyBorder="1" applyAlignment="1">
      <alignment horizontal="center" vertical="center" wrapText="1"/>
    </xf>
    <xf numFmtId="0" fontId="114" fillId="140" borderId="7" xfId="0" applyFont="1" applyFill="1" applyBorder="1" applyAlignment="1">
      <alignment horizontal="center" vertical="center" wrapText="1"/>
    </xf>
    <xf numFmtId="0" fontId="114" fillId="133" borderId="7" xfId="0" applyFont="1" applyFill="1" applyBorder="1" applyAlignment="1">
      <alignment horizontal="center" vertical="center" wrapText="1"/>
    </xf>
    <xf numFmtId="0" fontId="114" fillId="123" borderId="7" xfId="0" applyFont="1" applyFill="1" applyBorder="1" applyAlignment="1">
      <alignment horizontal="center" vertical="center" wrapText="1"/>
    </xf>
    <xf numFmtId="0" fontId="6" fillId="141" borderId="0" xfId="0" applyFont="1" applyFill="1" applyAlignment="1">
      <alignment horizontal="left" vertical="center" wrapText="1"/>
    </xf>
    <xf numFmtId="0" fontId="6" fillId="145" borderId="0" xfId="0" applyFont="1" applyFill="1" applyAlignment="1">
      <alignment horizontal="left" vertical="center" wrapText="1"/>
    </xf>
    <xf numFmtId="0" fontId="6" fillId="136" borderId="0" xfId="0" applyFont="1" applyFill="1" applyAlignment="1">
      <alignment horizontal="left" vertical="center" wrapText="1"/>
    </xf>
    <xf numFmtId="0" fontId="171" fillId="146" borderId="0" xfId="1" applyFont="1" applyFill="1" applyAlignment="1">
      <alignment horizontal="center" vertical="center" wrapText="1"/>
    </xf>
    <xf numFmtId="0" fontId="175" fillId="0" borderId="0" xfId="1" applyFont="1"/>
    <xf numFmtId="0" fontId="172" fillId="149" borderId="0" xfId="1" applyFont="1" applyFill="1" applyAlignment="1">
      <alignment horizontal="center" vertical="center" wrapText="1"/>
    </xf>
    <xf numFmtId="0" fontId="172" fillId="150" borderId="0" xfId="1" applyFont="1" applyFill="1" applyAlignment="1">
      <alignment horizontal="center" vertical="center" wrapText="1"/>
    </xf>
    <xf numFmtId="0" fontId="183" fillId="0" borderId="0" xfId="1" applyFont="1" applyAlignment="1">
      <alignment horizontal="left" vertical="center"/>
    </xf>
    <xf numFmtId="0" fontId="176" fillId="149" borderId="0" xfId="1" applyFont="1" applyFill="1" applyAlignment="1">
      <alignment horizontal="center" vertical="center" wrapText="1"/>
    </xf>
    <xf numFmtId="0" fontId="172" fillId="42" borderId="13" xfId="1" applyFont="1" applyFill="1" applyBorder="1" applyAlignment="1">
      <alignment horizontal="center" vertical="center" wrapText="1"/>
    </xf>
    <xf numFmtId="0" fontId="172" fillId="149" borderId="13" xfId="1" applyFont="1" applyFill="1" applyBorder="1" applyAlignment="1">
      <alignment horizontal="center" vertical="center" wrapText="1"/>
    </xf>
    <xf numFmtId="0" fontId="172" fillId="150" borderId="13" xfId="1" applyFont="1" applyFill="1" applyBorder="1" applyAlignment="1">
      <alignment horizontal="center" vertical="center" wrapText="1"/>
    </xf>
    <xf numFmtId="0" fontId="172" fillId="151" borderId="13" xfId="1" applyFont="1" applyFill="1" applyBorder="1" applyAlignment="1">
      <alignment horizontal="center" vertical="center" wrapText="1"/>
    </xf>
    <xf numFmtId="0" fontId="172" fillId="42" borderId="0" xfId="1" applyFont="1" applyFill="1" applyAlignment="1">
      <alignment horizontal="center" vertical="center" wrapText="1"/>
    </xf>
  </cellXfs>
  <cellStyles count="2">
    <cellStyle name="Normal" xfId="0" builtinId="0"/>
    <cellStyle name="Normal 2" xfId="1" xr:uid="{3D9CBF47-81A2-41F8-BE23-4607D1CAC10F}"/>
  </cellStyles>
  <dxfs count="23">
    <dxf>
      <font>
        <b/>
        <color rgb="FFCC0000"/>
      </font>
      <fill>
        <patternFill patternType="solid">
          <fgColor rgb="FFFFCCCC"/>
          <bgColor rgb="FFFFCCCC"/>
        </patternFill>
      </fill>
    </dxf>
    <dxf>
      <font>
        <b/>
        <color rgb="FFC00000"/>
      </font>
      <fill>
        <patternFill patternType="solid">
          <fgColor rgb="FFFCE4EC"/>
          <bgColor rgb="FFFCE4EC"/>
        </patternFill>
      </fill>
    </dxf>
    <dxf>
      <font>
        <b/>
        <color rgb="FF375623"/>
      </font>
      <fill>
        <patternFill patternType="solid">
          <fgColor rgb="FFE2EFDA"/>
          <bgColor rgb="FFE2EFDA"/>
        </patternFill>
      </fill>
    </dxf>
    <dxf>
      <font>
        <b/>
        <color rgb="FF9C5700"/>
      </font>
      <fill>
        <patternFill patternType="solid">
          <fgColor rgb="FFFFEB9C"/>
          <bgColor rgb="FFFFEB9C"/>
        </patternFill>
      </fill>
    </dxf>
    <dxf>
      <font>
        <b/>
        <color rgb="FF1F4E79"/>
      </font>
      <fill>
        <patternFill patternType="solid">
          <fgColor rgb="FFDDEBF7"/>
          <bgColor rgb="FFDDEBF7"/>
        </patternFill>
      </fill>
    </dxf>
    <dxf>
      <font>
        <b/>
        <color rgb="FF375623"/>
      </font>
      <fill>
        <patternFill patternType="solid">
          <fgColor rgb="FFC6EFCE"/>
          <bgColor rgb="FFC6EFCE"/>
        </patternFill>
      </fill>
    </dxf>
    <dxf>
      <fill>
        <patternFill patternType="solid">
          <fgColor rgb="FFEBF7EC"/>
          <bgColor rgb="FFEBF7EC"/>
        </patternFill>
      </fill>
    </dxf>
    <dxf>
      <font>
        <b/>
        <color rgb="FF7D6608"/>
      </font>
      <fill>
        <patternFill patternType="solid">
          <fgColor rgb="FFFFD966"/>
          <bgColor rgb="FFFFD966"/>
        </patternFill>
      </fill>
    </dxf>
    <dxf>
      <font>
        <b/>
        <color rgb="FF9C0006"/>
      </font>
      <fill>
        <patternFill patternType="solid">
          <fgColor rgb="FFFFC7CE"/>
          <bgColor rgb="FFFFC7CE"/>
        </patternFill>
      </fill>
    </dxf>
    <dxf>
      <font>
        <b/>
        <color rgb="FF276221"/>
      </font>
      <fill>
        <patternFill patternType="solid">
          <fgColor rgb="FFC6EFCE"/>
          <bgColor rgb="FFC6EFCE"/>
        </patternFill>
      </fill>
    </dxf>
    <dxf>
      <fill>
        <patternFill patternType="solid">
          <fgColor rgb="FFFFF2CC"/>
          <bgColor rgb="FFFFF2CC"/>
        </patternFill>
      </fill>
    </dxf>
    <dxf>
      <fill>
        <patternFill patternType="solid">
          <fgColor rgb="FFFCE4D6"/>
          <bgColor rgb="FFFCE4D6"/>
        </patternFill>
      </fill>
    </dxf>
    <dxf>
      <fill>
        <patternFill patternType="solid">
          <fgColor rgb="FFE2EFDA"/>
          <bgColor rgb="FFE2EFDA"/>
        </patternFill>
      </fill>
    </dxf>
    <dxf>
      <font>
        <b/>
        <color rgb="FF9C0006"/>
      </font>
      <fill>
        <patternFill patternType="solid">
          <fgColor rgb="FFFFC7CE"/>
          <bgColor rgb="FFFFC7CE"/>
        </patternFill>
      </fill>
    </dxf>
    <dxf>
      <font>
        <b/>
        <color rgb="FFFFFFFF"/>
      </font>
      <fill>
        <patternFill patternType="solid">
          <fgColor rgb="FF70AD47"/>
          <bgColor rgb="FF70AD47"/>
        </patternFill>
      </fill>
    </dxf>
    <dxf>
      <font>
        <b/>
        <color rgb="FFFFFFFF"/>
      </font>
      <fill>
        <patternFill patternType="solid">
          <fgColor rgb="FFED7D31"/>
          <bgColor rgb="FFED7D31"/>
        </patternFill>
      </fill>
    </dxf>
    <dxf>
      <font>
        <color rgb="FF888888"/>
      </font>
      <fill>
        <patternFill patternType="solid">
          <fgColor rgb="FFF5F5F5"/>
          <bgColor rgb="FFF5F5F5"/>
        </patternFill>
      </fill>
    </dxf>
    <dxf>
      <fill>
        <patternFill patternType="solid">
          <fgColor rgb="FFE2EFDA"/>
          <bgColor rgb="FFE2EFDA"/>
        </patternFill>
      </fill>
    </dxf>
    <dxf>
      <fill>
        <patternFill patternType="solid">
          <fgColor rgb="FFFFF2CC"/>
          <bgColor rgb="FFFFF2CC"/>
        </patternFill>
      </fill>
    </dxf>
    <dxf>
      <font>
        <b/>
        <color rgb="FFFFFFFF"/>
      </font>
      <fill>
        <patternFill patternType="solid">
          <fgColor rgb="FF70AD47"/>
          <bgColor rgb="FF70AD47"/>
        </patternFill>
      </fill>
    </dxf>
    <dxf>
      <font>
        <b/>
        <color rgb="FFFFFFFF"/>
      </font>
      <fill>
        <patternFill patternType="solid">
          <fgColor rgb="FFED7D31"/>
          <bgColor rgb="FFED7D31"/>
        </patternFill>
      </fill>
    </dxf>
    <dxf>
      <fill>
        <patternFill patternType="solid">
          <fgColor rgb="FFE2EFDA"/>
          <bgColor rgb="FFE2EFDA"/>
        </patternFill>
      </fill>
    </dxf>
    <dxf>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Total Net Salary by Department</a:t>
            </a:r>
          </a:p>
        </c:rich>
      </c:tx>
      <c:overlay val="1"/>
    </c:title>
    <c:autoTitleDeleted val="0"/>
    <c:plotArea>
      <c:layout/>
      <c:barChart>
        <c:barDir val="col"/>
        <c:grouping val="clustered"/>
        <c:varyColors val="1"/>
        <c:ser>
          <c:idx val="0"/>
          <c:order val="0"/>
          <c:tx>
            <c:strRef>
              <c:f>[1]Dept_Payroll_Summary!$F$3</c:f>
              <c:strCache>
                <c:ptCount val="1"/>
                <c:pt idx="0">
                  <c:v>Total Net Salary (₹)</c:v>
                </c:pt>
              </c:strCache>
            </c:strRef>
          </c:tx>
          <c:spPr>
            <a:solidFill>
              <a:srgbClr val="2E75B6"/>
            </a:solidFill>
            <a:ln>
              <a:prstDash val="solid"/>
            </a:ln>
          </c:spPr>
          <c:invertIfNegative val="1"/>
          <c:cat>
            <c:strRef>
              <c:f>[1]Dept_Payroll_Summary!$A$4:$A$9</c:f>
              <c:strCache>
                <c:ptCount val="6"/>
                <c:pt idx="0">
                  <c:v>Sales</c:v>
                </c:pt>
                <c:pt idx="1">
                  <c:v>HR</c:v>
                </c:pt>
                <c:pt idx="2">
                  <c:v>Marketing</c:v>
                </c:pt>
                <c:pt idx="3">
                  <c:v>Admin</c:v>
                </c:pt>
                <c:pt idx="4">
                  <c:v>Accounts</c:v>
                </c:pt>
                <c:pt idx="5">
                  <c:v>IT</c:v>
                </c:pt>
              </c:strCache>
            </c:strRef>
          </c:cat>
          <c:val>
            <c:numRef>
              <c:f>[1]Dept_Payroll_Summary!$F$4:$F$9</c:f>
              <c:numCache>
                <c:formatCode>General</c:formatCode>
                <c:ptCount val="6"/>
                <c:pt idx="0">
                  <c:v>520590</c:v>
                </c:pt>
                <c:pt idx="1">
                  <c:v>401881</c:v>
                </c:pt>
                <c:pt idx="2">
                  <c:v>345634</c:v>
                </c:pt>
                <c:pt idx="3">
                  <c:v>292772</c:v>
                </c:pt>
                <c:pt idx="4">
                  <c:v>244385</c:v>
                </c:pt>
                <c:pt idx="5">
                  <c:v>177764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063-4661-B0CA-186446D0212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Department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Net Salary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Category-wise Total Expenses</a:t>
            </a:r>
          </a:p>
        </c:rich>
      </c:tx>
      <c:overlay val="0"/>
      <c:spPr>
        <a:noFill/>
        <a:ln w="0">
          <a:noFill/>
        </a:ln>
      </c:spPr>
    </c:title>
    <c:autoTitleDeleted val="0"/>
    <c:plotArea>
      <c:layout/>
      <c:barChart>
        <c:barDir val="col"/>
        <c:grouping val="clustered"/>
        <c:varyColors val="0"/>
        <c:ser>
          <c:idx val="0"/>
          <c:order val="0"/>
          <c:tx>
            <c:strRef>
              <c:f>'Expense_Summary_Response-1'!$K$3</c:f>
              <c:strCache>
                <c:ptCount val="1"/>
                <c:pt idx="0">
                  <c:v>Total (₹)</c:v>
                </c:pt>
              </c:strCache>
            </c:strRef>
          </c:tx>
          <c:spPr>
            <a:solidFill>
              <a:srgbClr val="4F81BD"/>
            </a:solidFill>
            <a:ln w="9360">
              <a:solidFill>
                <a:srgbClr val="F9F9F9"/>
              </a:solidFill>
              <a:round/>
            </a:ln>
          </c:spPr>
          <c:invertIfNegative val="0"/>
          <c:dPt>
            <c:idx val="0"/>
            <c:invertIfNegative val="0"/>
            <c:bubble3D val="0"/>
            <c:spPr>
              <a:solidFill>
                <a:srgbClr val="FF6D00"/>
              </a:solidFill>
              <a:ln w="9360">
                <a:solidFill>
                  <a:srgbClr val="F9F9F9"/>
                </a:solidFill>
                <a:round/>
              </a:ln>
            </c:spPr>
            <c:extLst>
              <c:ext xmlns:c16="http://schemas.microsoft.com/office/drawing/2014/chart" uri="{C3380CC4-5D6E-409C-BE32-E72D297353CC}">
                <c16:uniqueId val="{00000001-DA09-4898-BF31-224BD848CDE5}"/>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'Expense_Summary_Response-1'!$J$4:$J$8</c:f>
              <c:strCache>
                <c:ptCount val="5"/>
                <c:pt idx="0">
                  <c:v>Travel</c:v>
                </c:pt>
                <c:pt idx="1">
                  <c:v>Marketing</c:v>
                </c:pt>
                <c:pt idx="2">
                  <c:v>Software</c:v>
                </c:pt>
                <c:pt idx="3">
                  <c:v>Office</c:v>
                </c:pt>
                <c:pt idx="4">
                  <c:v>Utilities</c:v>
                </c:pt>
              </c:strCache>
            </c:strRef>
          </c:cat>
          <c:val>
            <c:numRef>
              <c:f>'Expense_Summary_Response-1'!$K$4:$K$8</c:f>
              <c:numCache>
                <c:formatCode>General</c:formatCode>
                <c:ptCount val="5"/>
                <c:pt idx="0">
                  <c:v>74686</c:v>
                </c:pt>
                <c:pt idx="1">
                  <c:v>47046</c:v>
                </c:pt>
                <c:pt idx="2">
                  <c:v>29632</c:v>
                </c:pt>
                <c:pt idx="3">
                  <c:v>27138</c:v>
                </c:pt>
                <c:pt idx="4">
                  <c:v>22754</c:v>
                </c:pt>
              </c:numCache>
            </c:numRef>
          </c:val>
          <c:extLst>
            <c:ext xmlns:c16="http://schemas.microsoft.com/office/drawing/2014/chart" uri="{C3380CC4-5D6E-409C-BE32-E72D297353CC}">
              <c16:uniqueId val="{00000002-DA09-4898-BF31-224BD848CDE5}"/>
            </c:ext>
          </c:extLst>
        </c:ser>
        <c:dLbls>
          <c:dLblPos val="outEnd"/>
          <c:showLegendKey val="0"/>
          <c:showVal val="1"/>
          <c:showCatName val="0"/>
          <c:showSerName val="0"/>
          <c:showPercent val="0"/>
          <c:showBubbleSize val="0"/>
        </c:dLbls>
        <c:gapWidth val="150"/>
        <c:axId val="33168791"/>
        <c:axId val="63387582"/>
      </c:barChart>
      <c:catAx>
        <c:axId val="3316879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387582"/>
        <c:crosses val="autoZero"/>
        <c:auto val="1"/>
        <c:lblAlgn val="ctr"/>
        <c:lblOffset val="100"/>
        <c:noMultiLvlLbl val="0"/>
      </c:catAx>
      <c:valAx>
        <c:axId val="6338758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Amount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316879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28575">
      <a:solidFill>
        <a:srgbClr val="C00000"/>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Expense Share by Category (%)</a:t>
            </a:r>
          </a:p>
        </c:rich>
      </c:tx>
      <c:overlay val="0"/>
      <c:spPr>
        <a:noFill/>
        <a:ln w="0">
          <a:noFill/>
        </a:ln>
      </c:spPr>
    </c:title>
    <c:autoTitleDeleted val="0"/>
    <c:plotArea>
      <c:layout/>
      <c:pieChart>
        <c:varyColors val="1"/>
        <c:ser>
          <c:idx val="0"/>
          <c:order val="0"/>
          <c:tx>
            <c:strRef>
              <c:f>'Expense_Summary_Response-1'!$K$3</c:f>
              <c:strCache>
                <c:ptCount val="1"/>
                <c:pt idx="0">
                  <c:v>Total (₹)</c:v>
                </c:pt>
              </c:strCache>
            </c:strRef>
          </c:tx>
          <c:spPr>
            <a:solidFill>
              <a:srgbClr val="4F81BD"/>
            </a:solidFill>
            <a:ln w="9360">
              <a:solidFill>
                <a:srgbClr val="F9F9F9"/>
              </a:solidFill>
              <a:round/>
            </a:ln>
          </c:spPr>
          <c:dPt>
            <c:idx val="0"/>
            <c:bubble3D val="0"/>
            <c:extLst>
              <c:ext xmlns:c16="http://schemas.microsoft.com/office/drawing/2014/chart" uri="{C3380CC4-5D6E-409C-BE32-E72D297353CC}">
                <c16:uniqueId val="{00000000-D0C8-4D95-8780-D80008B377F5}"/>
              </c:ext>
            </c:extLst>
          </c:dPt>
          <c:dPt>
            <c:idx val="1"/>
            <c:bubble3D val="0"/>
            <c:spPr>
              <a:solidFill>
                <a:srgbClr val="C0504D"/>
              </a:solidFill>
              <a:ln w="9360">
                <a:solidFill>
                  <a:srgbClr val="F9F9F9"/>
                </a:solidFill>
                <a:round/>
              </a:ln>
            </c:spPr>
            <c:extLst>
              <c:ext xmlns:c16="http://schemas.microsoft.com/office/drawing/2014/chart" uri="{C3380CC4-5D6E-409C-BE32-E72D297353CC}">
                <c16:uniqueId val="{00000002-D0C8-4D95-8780-D80008B377F5}"/>
              </c:ext>
            </c:extLst>
          </c:dPt>
          <c:dPt>
            <c:idx val="2"/>
            <c:bubble3D val="0"/>
            <c:spPr>
              <a:solidFill>
                <a:srgbClr val="9BBB59"/>
              </a:solidFill>
              <a:ln w="9360">
                <a:solidFill>
                  <a:srgbClr val="F9F9F9"/>
                </a:solidFill>
                <a:round/>
              </a:ln>
            </c:spPr>
            <c:extLst>
              <c:ext xmlns:c16="http://schemas.microsoft.com/office/drawing/2014/chart" uri="{C3380CC4-5D6E-409C-BE32-E72D297353CC}">
                <c16:uniqueId val="{00000004-D0C8-4D95-8780-D80008B377F5}"/>
              </c:ext>
            </c:extLst>
          </c:dPt>
          <c:dPt>
            <c:idx val="3"/>
            <c:bubble3D val="0"/>
            <c:spPr>
              <a:solidFill>
                <a:srgbClr val="8064A2"/>
              </a:solidFill>
              <a:ln w="9360">
                <a:solidFill>
                  <a:srgbClr val="F9F9F9"/>
                </a:solidFill>
                <a:round/>
              </a:ln>
            </c:spPr>
            <c:extLst>
              <c:ext xmlns:c16="http://schemas.microsoft.com/office/drawing/2014/chart" uri="{C3380CC4-5D6E-409C-BE32-E72D297353CC}">
                <c16:uniqueId val="{00000006-D0C8-4D95-8780-D80008B377F5}"/>
              </c:ext>
            </c:extLst>
          </c:dPt>
          <c:dPt>
            <c:idx val="4"/>
            <c:bubble3D val="0"/>
            <c:spPr>
              <a:solidFill>
                <a:srgbClr val="4BACC6"/>
              </a:solidFill>
              <a:ln w="9360">
                <a:solidFill>
                  <a:srgbClr val="F9F9F9"/>
                </a:solidFill>
                <a:round/>
              </a:ln>
            </c:spPr>
            <c:extLst>
              <c:ext xmlns:c16="http://schemas.microsoft.com/office/drawing/2014/chart" uri="{C3380CC4-5D6E-409C-BE32-E72D297353CC}">
                <c16:uniqueId val="{00000008-D0C8-4D95-8780-D80008B377F5}"/>
              </c:ext>
            </c:extLst>
          </c:dPt>
          <c:dLbls>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'Expense_Summary_Response-1'!$J$4:$J$8</c:f>
              <c:strCache>
                <c:ptCount val="5"/>
                <c:pt idx="0">
                  <c:v>Travel</c:v>
                </c:pt>
                <c:pt idx="1">
                  <c:v>Marketing</c:v>
                </c:pt>
                <c:pt idx="2">
                  <c:v>Software</c:v>
                </c:pt>
                <c:pt idx="3">
                  <c:v>Office</c:v>
                </c:pt>
                <c:pt idx="4">
                  <c:v>Utilities</c:v>
                </c:pt>
              </c:strCache>
            </c:strRef>
          </c:cat>
          <c:val>
            <c:numRef>
              <c:f>'Expense_Summary_Response-1'!$K$4:$K$8</c:f>
              <c:numCache>
                <c:formatCode>General</c:formatCode>
                <c:ptCount val="5"/>
                <c:pt idx="0">
                  <c:v>74686</c:v>
                </c:pt>
                <c:pt idx="1">
                  <c:v>47046</c:v>
                </c:pt>
                <c:pt idx="2">
                  <c:v>29632</c:v>
                </c:pt>
                <c:pt idx="3">
                  <c:v>27138</c:v>
                </c:pt>
                <c:pt idx="4">
                  <c:v>22754</c:v>
                </c:pt>
              </c:numCache>
            </c:numRef>
          </c:val>
          <c:extLst>
            <c:ext xmlns:c16="http://schemas.microsoft.com/office/drawing/2014/chart" uri="{C3380CC4-5D6E-409C-BE32-E72D297353CC}">
              <c16:uniqueId val="{00000009-D0C8-4D95-8780-D80008B377F5}"/>
            </c:ext>
          </c:extLst>
        </c:ser>
        <c:dLbls>
          <c:dLblPos val="bestFit"/>
          <c:showLegendKey val="0"/>
          <c:showVal val="1"/>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28575">
      <a:solidFill>
        <a:srgbClr val="C00000"/>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Spend by Category (Stacked)</a:t>
            </a:r>
          </a:p>
        </c:rich>
      </c:tx>
      <c:overlay val="0"/>
      <c:spPr>
        <a:noFill/>
        <a:ln w="0">
          <a:noFill/>
        </a:ln>
      </c:spPr>
    </c:title>
    <c:autoTitleDeleted val="0"/>
    <c:plotArea>
      <c:layout/>
      <c:barChart>
        <c:barDir val="col"/>
        <c:grouping val="stacked"/>
        <c:varyColors val="0"/>
        <c:ser>
          <c:idx val="0"/>
          <c:order val="0"/>
          <c:tx>
            <c:strRef>
              <c:f>'Expense_Summary_Response-2'!$L$3</c:f>
              <c:strCache>
                <c:ptCount val="1"/>
                <c:pt idx="0">
                  <c:v>Jan 2026</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'Expense_Summary_Response-2'!$K$4:$K$8</c:f>
              <c:strCache>
                <c:ptCount val="5"/>
                <c:pt idx="0">
                  <c:v>Travel</c:v>
                </c:pt>
                <c:pt idx="1">
                  <c:v>Marketing</c:v>
                </c:pt>
                <c:pt idx="2">
                  <c:v>Software</c:v>
                </c:pt>
                <c:pt idx="3">
                  <c:v>Office</c:v>
                </c:pt>
                <c:pt idx="4">
                  <c:v>Utilities</c:v>
                </c:pt>
              </c:strCache>
            </c:strRef>
          </c:cat>
          <c:val>
            <c:numRef>
              <c:f>'Expense_Summary_Response-2'!$L$4:$L$8</c:f>
              <c:numCache>
                <c:formatCode>General</c:formatCode>
                <c:ptCount val="5"/>
                <c:pt idx="0">
                  <c:v>46539</c:v>
                </c:pt>
                <c:pt idx="1">
                  <c:v>34492</c:v>
                </c:pt>
                <c:pt idx="2">
                  <c:v>27155</c:v>
                </c:pt>
                <c:pt idx="3">
                  <c:v>25286</c:v>
                </c:pt>
                <c:pt idx="4">
                  <c:v>22754</c:v>
                </c:pt>
              </c:numCache>
            </c:numRef>
          </c:val>
          <c:extLst>
            <c:ext xmlns:c16="http://schemas.microsoft.com/office/drawing/2014/chart" uri="{C3380CC4-5D6E-409C-BE32-E72D297353CC}">
              <c16:uniqueId val="{00000000-4EF9-4AE4-A32B-6AD598B500A8}"/>
            </c:ext>
          </c:extLst>
        </c:ser>
        <c:ser>
          <c:idx val="1"/>
          <c:order val="1"/>
          <c:tx>
            <c:strRef>
              <c:f>'Expense_Summary_Response-2'!$M$3</c:f>
              <c:strCache>
                <c:ptCount val="1"/>
                <c:pt idx="0">
                  <c:v>Feb 2026</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'Expense_Summary_Response-2'!$K$4:$K$8</c:f>
              <c:strCache>
                <c:ptCount val="5"/>
                <c:pt idx="0">
                  <c:v>Travel</c:v>
                </c:pt>
                <c:pt idx="1">
                  <c:v>Marketing</c:v>
                </c:pt>
                <c:pt idx="2">
                  <c:v>Software</c:v>
                </c:pt>
                <c:pt idx="3">
                  <c:v>Office</c:v>
                </c:pt>
                <c:pt idx="4">
                  <c:v>Utilities</c:v>
                </c:pt>
              </c:strCache>
            </c:strRef>
          </c:cat>
          <c:val>
            <c:numRef>
              <c:f>'Expense_Summary_Response-2'!$M$4:$M$8</c:f>
              <c:numCache>
                <c:formatCode>General</c:formatCode>
                <c:ptCount val="5"/>
                <c:pt idx="0">
                  <c:v>28147</c:v>
                </c:pt>
                <c:pt idx="1">
                  <c:v>12554</c:v>
                </c:pt>
                <c:pt idx="2">
                  <c:v>2477</c:v>
                </c:pt>
                <c:pt idx="3">
                  <c:v>1852</c:v>
                </c:pt>
                <c:pt idx="4">
                  <c:v>0</c:v>
                </c:pt>
              </c:numCache>
            </c:numRef>
          </c:val>
          <c:extLst>
            <c:ext xmlns:c16="http://schemas.microsoft.com/office/drawing/2014/chart" uri="{C3380CC4-5D6E-409C-BE32-E72D297353CC}">
              <c16:uniqueId val="{00000001-4EF9-4AE4-A32B-6AD598B500A8}"/>
            </c:ext>
          </c:extLst>
        </c:ser>
        <c:dLbls>
          <c:showLegendKey val="0"/>
          <c:showVal val="0"/>
          <c:showCatName val="0"/>
          <c:showSerName val="0"/>
          <c:showPercent val="0"/>
          <c:showBubbleSize val="0"/>
        </c:dLbls>
        <c:gapWidth val="150"/>
        <c:overlap val="100"/>
        <c:axId val="90857528"/>
        <c:axId val="68721553"/>
      </c:barChart>
      <c:catAx>
        <c:axId val="9085752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721553"/>
        <c:crosses val="autoZero"/>
        <c:auto val="1"/>
        <c:lblAlgn val="ctr"/>
        <c:lblOffset val="100"/>
        <c:noMultiLvlLbl val="0"/>
      </c:catAx>
      <c:valAx>
        <c:axId val="6872155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Amount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08575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Total Expense Trend</a:t>
            </a:r>
          </a:p>
        </c:rich>
      </c:tx>
      <c:overlay val="0"/>
      <c:spPr>
        <a:noFill/>
        <a:ln w="0">
          <a:noFill/>
        </a:ln>
      </c:spPr>
    </c:title>
    <c:autoTitleDeleted val="0"/>
    <c:plotArea>
      <c:layout/>
      <c:lineChart>
        <c:grouping val="standard"/>
        <c:varyColors val="0"/>
        <c:ser>
          <c:idx val="0"/>
          <c:order val="0"/>
          <c:spPr>
            <a:ln w="4752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'Expense_Summary_Response-2'!$L$10:$M$10</c:f>
              <c:strCache>
                <c:ptCount val="2"/>
                <c:pt idx="0">
                  <c:v>Jan 2026</c:v>
                </c:pt>
                <c:pt idx="1">
                  <c:v>Feb 2026</c:v>
                </c:pt>
              </c:strCache>
            </c:strRef>
          </c:cat>
          <c:val>
            <c:numRef>
              <c:f>'Expense_Summary_Response-2'!$L$11</c:f>
              <c:numCache>
                <c:formatCode>General</c:formatCode>
                <c:ptCount val="1"/>
                <c:pt idx="0">
                  <c:v>156226</c:v>
                </c:pt>
              </c:numCache>
            </c:numRef>
          </c:val>
          <c:smooth val="1"/>
          <c:extLst>
            <c:ext xmlns:c16="http://schemas.microsoft.com/office/drawing/2014/chart" uri="{C3380CC4-5D6E-409C-BE32-E72D297353CC}">
              <c16:uniqueId val="{00000000-A2BE-473B-B86F-98F8929EAA51}"/>
            </c:ext>
          </c:extLst>
        </c:ser>
        <c:ser>
          <c:idx val="1"/>
          <c:order val="1"/>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'Expense_Summary_Response-2'!$L$10:$M$10</c:f>
              <c:strCache>
                <c:ptCount val="2"/>
                <c:pt idx="0">
                  <c:v>Jan 2026</c:v>
                </c:pt>
                <c:pt idx="1">
                  <c:v>Feb 2026</c:v>
                </c:pt>
              </c:strCache>
            </c:strRef>
          </c:cat>
          <c:val>
            <c:numRef>
              <c:f>'Expense_Summary_Response-2'!$M$11</c:f>
              <c:numCache>
                <c:formatCode>General</c:formatCode>
                <c:ptCount val="1"/>
                <c:pt idx="0">
                  <c:v>45030</c:v>
                </c:pt>
              </c:numCache>
            </c:numRef>
          </c:val>
          <c:smooth val="1"/>
          <c:extLst>
            <c:ext xmlns:c16="http://schemas.microsoft.com/office/drawing/2014/chart" uri="{C3380CC4-5D6E-409C-BE32-E72D297353CC}">
              <c16:uniqueId val="{00000001-A2BE-473B-B86F-98F8929EAA51}"/>
            </c:ext>
          </c:extLst>
        </c:ser>
        <c:dLbls>
          <c:showLegendKey val="0"/>
          <c:showVal val="0"/>
          <c:showCatName val="0"/>
          <c:showSerName val="0"/>
          <c:showPercent val="0"/>
          <c:showBubbleSize val="0"/>
        </c:dLbls>
        <c:hiLowLines>
          <c:spPr>
            <a:ln w="0">
              <a:noFill/>
            </a:ln>
          </c:spPr>
        </c:hiLowLines>
        <c:smooth val="0"/>
        <c:axId val="17442089"/>
        <c:axId val="60805796"/>
      </c:lineChart>
      <c:catAx>
        <c:axId val="1744208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805796"/>
        <c:crosses val="autoZero"/>
        <c:auto val="1"/>
        <c:lblAlgn val="ctr"/>
        <c:lblOffset val="100"/>
        <c:noMultiLvlLbl val="0"/>
      </c:catAx>
      <c:valAx>
        <c:axId val="608057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Amount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4420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Budget vs Actual by Department</a:t>
            </a:r>
          </a:p>
        </c:rich>
      </c:tx>
      <c:overlay val="1"/>
    </c:title>
    <c:autoTitleDeleted val="0"/>
    <c:plotArea>
      <c:layout/>
      <c:barChart>
        <c:barDir val="col"/>
        <c:grouping val="clustered"/>
        <c:varyColors val="1"/>
        <c:ser>
          <c:idx val="0"/>
          <c:order val="0"/>
          <c:tx>
            <c:strRef>
              <c:f>'BudgetVarianceReport_Response-2'!$B$46</c:f>
              <c:strCache>
                <c:ptCount val="1"/>
                <c:pt idx="0">
                  <c:v>Budget</c:v>
                </c:pt>
              </c:strCache>
            </c:strRef>
          </c:tx>
          <c:spPr>
            <a:solidFill>
              <a:srgbClr val="2E75B6"/>
            </a:solidFill>
            <a:ln>
              <a:prstDash val="solid"/>
            </a:ln>
          </c:spPr>
          <c:invertIfNegative val="1"/>
          <c:cat>
            <c:strRef>
              <c:f>'BudgetVarianceReport_Response-2'!$A$47:$A$52</c:f>
              <c:strCache>
                <c:ptCount val="6"/>
                <c:pt idx="0">
                  <c:v>Sales</c:v>
                </c:pt>
                <c:pt idx="1">
                  <c:v>Marketing</c:v>
                </c:pt>
                <c:pt idx="2">
                  <c:v>Accounts</c:v>
                </c:pt>
                <c:pt idx="3">
                  <c:v>HR</c:v>
                </c:pt>
                <c:pt idx="4">
                  <c:v>IT</c:v>
                </c:pt>
                <c:pt idx="5">
                  <c:v>Admin</c:v>
                </c:pt>
              </c:strCache>
            </c:strRef>
          </c:cat>
          <c:val>
            <c:numRef>
              <c:f>'BudgetVarianceReport_Response-2'!$B$47:$B$52</c:f>
              <c:numCache>
                <c:formatCode>General</c:formatCode>
                <c:ptCount val="6"/>
                <c:pt idx="0">
                  <c:v>59375</c:v>
                </c:pt>
                <c:pt idx="1">
                  <c:v>71817</c:v>
                </c:pt>
                <c:pt idx="2">
                  <c:v>61800</c:v>
                </c:pt>
                <c:pt idx="3">
                  <c:v>69924</c:v>
                </c:pt>
                <c:pt idx="4">
                  <c:v>63020</c:v>
                </c:pt>
                <c:pt idx="5">
                  <c:v>48568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560-4753-985B-19A4E46B7C5F}"/>
            </c:ext>
          </c:extLst>
        </c:ser>
        <c:ser>
          <c:idx val="1"/>
          <c:order val="1"/>
          <c:tx>
            <c:strRef>
              <c:f>'BudgetVarianceReport_Response-2'!$C$46</c:f>
              <c:strCache>
                <c:ptCount val="1"/>
                <c:pt idx="0">
                  <c:v>Actual</c:v>
                </c:pt>
              </c:strCache>
            </c:strRef>
          </c:tx>
          <c:spPr>
            <a:solidFill>
              <a:srgbClr val="C00000"/>
            </a:solidFill>
            <a:ln>
              <a:prstDash val="solid"/>
            </a:ln>
          </c:spPr>
          <c:invertIfNegative val="1"/>
          <c:cat>
            <c:strRef>
              <c:f>'BudgetVarianceReport_Response-2'!$A$47:$A$52</c:f>
              <c:strCache>
                <c:ptCount val="6"/>
                <c:pt idx="0">
                  <c:v>Sales</c:v>
                </c:pt>
                <c:pt idx="1">
                  <c:v>Marketing</c:v>
                </c:pt>
                <c:pt idx="2">
                  <c:v>Accounts</c:v>
                </c:pt>
                <c:pt idx="3">
                  <c:v>HR</c:v>
                </c:pt>
                <c:pt idx="4">
                  <c:v>IT</c:v>
                </c:pt>
                <c:pt idx="5">
                  <c:v>Admin</c:v>
                </c:pt>
              </c:strCache>
            </c:strRef>
          </c:cat>
          <c:val>
            <c:numRef>
              <c:f>'BudgetVarianceReport_Response-2'!$C$47:$C$52</c:f>
              <c:numCache>
                <c:formatCode>General</c:formatCode>
                <c:ptCount val="6"/>
                <c:pt idx="0">
                  <c:v>40955</c:v>
                </c:pt>
                <c:pt idx="1">
                  <c:v>60111</c:v>
                </c:pt>
                <c:pt idx="2">
                  <c:v>27760</c:v>
                </c:pt>
                <c:pt idx="3">
                  <c:v>47780</c:v>
                </c:pt>
                <c:pt idx="4">
                  <c:v>70302</c:v>
                </c:pt>
                <c:pt idx="5">
                  <c:v>63330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560-4753-985B-19A4E46B7C5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Department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Amount (₹)</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Regional Sales Performance</a:t>
            </a:r>
          </a:p>
        </c:rich>
      </c:tx>
      <c:overlay val="1"/>
    </c:title>
    <c:autoTitleDeleted val="0"/>
    <c:plotArea>
      <c:layout/>
      <c:barChart>
        <c:barDir val="col"/>
        <c:grouping val="clustered"/>
        <c:varyColors val="1"/>
        <c:ser>
          <c:idx val="0"/>
          <c:order val="0"/>
          <c:tx>
            <c:strRef>
              <c:f>'Sales_Dashboard_Response-1'!$B$200</c:f>
              <c:strCache>
                <c:ptCount val="1"/>
                <c:pt idx="0">
                  <c:v>Total Sales</c:v>
                </c:pt>
              </c:strCache>
            </c:strRef>
          </c:tx>
          <c:spPr>
            <a:solidFill>
              <a:srgbClr val="2E75B6"/>
            </a:solidFill>
            <a:ln>
              <a:prstDash val="solid"/>
            </a:ln>
          </c:spPr>
          <c:invertIfNegative val="1"/>
          <c:cat>
            <c:strRef>
              <c:f>'Sales_Dashboard_Response-1'!$A$201:$A$204</c:f>
              <c:strCache>
                <c:ptCount val="4"/>
                <c:pt idx="0">
                  <c:v>West</c:v>
                </c:pt>
                <c:pt idx="1">
                  <c:v>North</c:v>
                </c:pt>
                <c:pt idx="2">
                  <c:v>East</c:v>
                </c:pt>
                <c:pt idx="3">
                  <c:v>South</c:v>
                </c:pt>
              </c:strCache>
            </c:strRef>
          </c:cat>
          <c:val>
            <c:numRef>
              <c:f>'Sales_Dashboard_Response-1'!$B$201:$B$204</c:f>
              <c:numCache>
                <c:formatCode>General</c:formatCode>
                <c:ptCount val="4"/>
                <c:pt idx="0">
                  <c:v>3607460</c:v>
                </c:pt>
                <c:pt idx="1">
                  <c:v>2748083</c:v>
                </c:pt>
                <c:pt idx="2">
                  <c:v>3000144</c:v>
                </c:pt>
                <c:pt idx="3">
                  <c:v>2464143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43B9-4B70-B670-D1178554B43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Product Sales Performance</a:t>
            </a:r>
          </a:p>
        </c:rich>
      </c:tx>
      <c:overlay val="1"/>
    </c:title>
    <c:autoTitleDeleted val="0"/>
    <c:plotArea>
      <c:layout/>
      <c:barChart>
        <c:barDir val="col"/>
        <c:grouping val="clustered"/>
        <c:varyColors val="1"/>
        <c:ser>
          <c:idx val="0"/>
          <c:order val="0"/>
          <c:tx>
            <c:strRef>
              <c:f>'Sales_Dashboard_Response-1'!$B$208</c:f>
              <c:strCache>
                <c:ptCount val="1"/>
                <c:pt idx="0">
                  <c:v>Total Sales</c:v>
                </c:pt>
              </c:strCache>
            </c:strRef>
          </c:tx>
          <c:spPr>
            <a:solidFill>
              <a:srgbClr val="7D3C98"/>
            </a:solidFill>
            <a:ln>
              <a:prstDash val="solid"/>
            </a:ln>
          </c:spPr>
          <c:invertIfNegative val="1"/>
          <c:cat>
            <c:strRef>
              <c:f>'Sales_Dashboard_Response-1'!$A$209:$A$212</c:f>
              <c:strCache>
                <c:ptCount val="4"/>
                <c:pt idx="0">
                  <c:v>Tally Course</c:v>
                </c:pt>
                <c:pt idx="1">
                  <c:v>Excel Course</c:v>
                </c:pt>
                <c:pt idx="2">
                  <c:v>GST Course</c:v>
                </c:pt>
                <c:pt idx="3">
                  <c:v>Power BI Course</c:v>
                </c:pt>
              </c:strCache>
            </c:strRef>
          </c:cat>
          <c:val>
            <c:numRef>
              <c:f>'Sales_Dashboard_Response-1'!$B$209:$B$212</c:f>
              <c:numCache>
                <c:formatCode>General</c:formatCode>
                <c:ptCount val="4"/>
                <c:pt idx="0">
                  <c:v>3277987</c:v>
                </c:pt>
                <c:pt idx="1">
                  <c:v>2954852</c:v>
                </c:pt>
                <c:pt idx="2">
                  <c:v>2919573</c:v>
                </c:pt>
                <c:pt idx="3">
                  <c:v>2667418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1281-4867-AA2C-C03A36913D6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Product</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Monthly Sales Trend by Region</a:t>
            </a:r>
          </a:p>
        </c:rich>
      </c:tx>
      <c:overlay val="1"/>
    </c:title>
    <c:autoTitleDeleted val="0"/>
    <c:plotArea>
      <c:layout/>
      <c:lineChart>
        <c:grouping val="standard"/>
        <c:varyColors val="1"/>
        <c:ser>
          <c:idx val="0"/>
          <c:order val="0"/>
          <c:tx>
            <c:strRef>
              <c:f>'Sales_Dashboard_Response-1'!$B$216</c:f>
              <c:strCache>
                <c:ptCount val="1"/>
                <c:pt idx="0">
                  <c:v>West</c:v>
                </c:pt>
              </c:strCache>
            </c:strRef>
          </c:tx>
          <c:spPr>
            <a:ln w="25000">
              <a:solidFill>
                <a:srgbClr val="1F6AA5"/>
              </a:solidFill>
              <a:prstDash val="solid"/>
            </a:ln>
          </c:spPr>
          <c:marker>
            <c:symbol val="none"/>
          </c:marker>
          <c:cat>
            <c:strRef>
              <c:f>'Sales_Dashboard_Response-1'!$A$217:$A$220</c:f>
              <c:strCache>
                <c:ptCount val="4"/>
                <c:pt idx="0">
                  <c:v>Jan-26</c:v>
                </c:pt>
                <c:pt idx="1">
                  <c:v>Feb-26</c:v>
                </c:pt>
                <c:pt idx="2">
                  <c:v>Mar-26</c:v>
                </c:pt>
                <c:pt idx="3">
                  <c:v>Apr-26</c:v>
                </c:pt>
              </c:strCache>
            </c:strRef>
          </c:cat>
          <c:val>
            <c:numRef>
              <c:f>'Sales_Dashboard_Response-1'!$B$217:$B$220</c:f>
              <c:numCache>
                <c:formatCode>General</c:formatCode>
                <c:ptCount val="4"/>
                <c:pt idx="0">
                  <c:v>996246</c:v>
                </c:pt>
                <c:pt idx="1">
                  <c:v>803275</c:v>
                </c:pt>
                <c:pt idx="2">
                  <c:v>696050</c:v>
                </c:pt>
                <c:pt idx="3">
                  <c:v>1111889</c:v>
                </c:pt>
              </c:numCache>
            </c:numRef>
          </c:val>
          <c:smooth val="1"/>
          <c:extLst>
            <c:ext xmlns:c16="http://schemas.microsoft.com/office/drawing/2014/chart" uri="{C3380CC4-5D6E-409C-BE32-E72D297353CC}">
              <c16:uniqueId val="{00000000-FFB9-4101-90C2-6590BA8B1332}"/>
            </c:ext>
          </c:extLst>
        </c:ser>
        <c:ser>
          <c:idx val="1"/>
          <c:order val="1"/>
          <c:tx>
            <c:strRef>
              <c:f>'Sales_Dashboard_Response-1'!$C$216</c:f>
              <c:strCache>
                <c:ptCount val="1"/>
                <c:pt idx="0">
                  <c:v>North</c:v>
                </c:pt>
              </c:strCache>
            </c:strRef>
          </c:tx>
          <c:spPr>
            <a:ln w="25000">
              <a:solidFill>
                <a:srgbClr val="27AE60"/>
              </a:solidFill>
              <a:prstDash val="solid"/>
            </a:ln>
          </c:spPr>
          <c:marker>
            <c:symbol val="none"/>
          </c:marker>
          <c:cat>
            <c:strRef>
              <c:f>'Sales_Dashboard_Response-1'!$A$217:$A$220</c:f>
              <c:strCache>
                <c:ptCount val="4"/>
                <c:pt idx="0">
                  <c:v>Jan-26</c:v>
                </c:pt>
                <c:pt idx="1">
                  <c:v>Feb-26</c:v>
                </c:pt>
                <c:pt idx="2">
                  <c:v>Mar-26</c:v>
                </c:pt>
                <c:pt idx="3">
                  <c:v>Apr-26</c:v>
                </c:pt>
              </c:strCache>
            </c:strRef>
          </c:cat>
          <c:val>
            <c:numRef>
              <c:f>'Sales_Dashboard_Response-1'!$C$217:$C$220</c:f>
              <c:numCache>
                <c:formatCode>General</c:formatCode>
                <c:ptCount val="4"/>
                <c:pt idx="0">
                  <c:v>750013</c:v>
                </c:pt>
                <c:pt idx="1">
                  <c:v>542794</c:v>
                </c:pt>
                <c:pt idx="2">
                  <c:v>561793</c:v>
                </c:pt>
                <c:pt idx="3">
                  <c:v>804961</c:v>
                </c:pt>
              </c:numCache>
            </c:numRef>
          </c:val>
          <c:smooth val="1"/>
          <c:extLst>
            <c:ext xmlns:c16="http://schemas.microsoft.com/office/drawing/2014/chart" uri="{C3380CC4-5D6E-409C-BE32-E72D297353CC}">
              <c16:uniqueId val="{00000001-FFB9-4101-90C2-6590BA8B1332}"/>
            </c:ext>
          </c:extLst>
        </c:ser>
        <c:ser>
          <c:idx val="2"/>
          <c:order val="2"/>
          <c:tx>
            <c:strRef>
              <c:f>'Sales_Dashboard_Response-1'!$D$216</c:f>
              <c:strCache>
                <c:ptCount val="1"/>
                <c:pt idx="0">
                  <c:v>East</c:v>
                </c:pt>
              </c:strCache>
            </c:strRef>
          </c:tx>
          <c:spPr>
            <a:ln w="25000">
              <a:solidFill>
                <a:srgbClr val="E67E22"/>
              </a:solidFill>
              <a:prstDash val="solid"/>
            </a:ln>
          </c:spPr>
          <c:marker>
            <c:symbol val="none"/>
          </c:marker>
          <c:cat>
            <c:strRef>
              <c:f>'Sales_Dashboard_Response-1'!$A$217:$A$220</c:f>
              <c:strCache>
                <c:ptCount val="4"/>
                <c:pt idx="0">
                  <c:v>Jan-26</c:v>
                </c:pt>
                <c:pt idx="1">
                  <c:v>Feb-26</c:v>
                </c:pt>
                <c:pt idx="2">
                  <c:v>Mar-26</c:v>
                </c:pt>
                <c:pt idx="3">
                  <c:v>Apr-26</c:v>
                </c:pt>
              </c:strCache>
            </c:strRef>
          </c:cat>
          <c:val>
            <c:numRef>
              <c:f>'Sales_Dashboard_Response-1'!$D$217:$D$220</c:f>
              <c:numCache>
                <c:formatCode>General</c:formatCode>
                <c:ptCount val="4"/>
                <c:pt idx="0">
                  <c:v>669545</c:v>
                </c:pt>
                <c:pt idx="1">
                  <c:v>628946</c:v>
                </c:pt>
                <c:pt idx="2">
                  <c:v>862213</c:v>
                </c:pt>
                <c:pt idx="3">
                  <c:v>777733</c:v>
                </c:pt>
              </c:numCache>
            </c:numRef>
          </c:val>
          <c:smooth val="1"/>
          <c:extLst>
            <c:ext xmlns:c16="http://schemas.microsoft.com/office/drawing/2014/chart" uri="{C3380CC4-5D6E-409C-BE32-E72D297353CC}">
              <c16:uniqueId val="{00000002-FFB9-4101-90C2-6590BA8B1332}"/>
            </c:ext>
          </c:extLst>
        </c:ser>
        <c:ser>
          <c:idx val="3"/>
          <c:order val="3"/>
          <c:tx>
            <c:strRef>
              <c:f>'Sales_Dashboard_Response-1'!$E$216</c:f>
              <c:strCache>
                <c:ptCount val="1"/>
                <c:pt idx="0">
                  <c:v>South</c:v>
                </c:pt>
              </c:strCache>
            </c:strRef>
          </c:tx>
          <c:spPr>
            <a:ln w="25000">
              <a:solidFill>
                <a:srgbClr val="8E44AD"/>
              </a:solidFill>
              <a:prstDash val="solid"/>
            </a:ln>
          </c:spPr>
          <c:marker>
            <c:symbol val="none"/>
          </c:marker>
          <c:cat>
            <c:strRef>
              <c:f>'Sales_Dashboard_Response-1'!$A$217:$A$220</c:f>
              <c:strCache>
                <c:ptCount val="4"/>
                <c:pt idx="0">
                  <c:v>Jan-26</c:v>
                </c:pt>
                <c:pt idx="1">
                  <c:v>Feb-26</c:v>
                </c:pt>
                <c:pt idx="2">
                  <c:v>Mar-26</c:v>
                </c:pt>
                <c:pt idx="3">
                  <c:v>Apr-26</c:v>
                </c:pt>
              </c:strCache>
            </c:strRef>
          </c:cat>
          <c:val>
            <c:numRef>
              <c:f>'Sales_Dashboard_Response-1'!$E$217:$E$220</c:f>
              <c:numCache>
                <c:formatCode>General</c:formatCode>
                <c:ptCount val="4"/>
                <c:pt idx="0">
                  <c:v>529545</c:v>
                </c:pt>
                <c:pt idx="1">
                  <c:v>665389</c:v>
                </c:pt>
                <c:pt idx="2">
                  <c:v>611398</c:v>
                </c:pt>
                <c:pt idx="3">
                  <c:v>657811</c:v>
                </c:pt>
              </c:numCache>
            </c:numRef>
          </c:val>
          <c:smooth val="1"/>
          <c:extLst>
            <c:ext xmlns:c16="http://schemas.microsoft.com/office/drawing/2014/chart" uri="{C3380CC4-5D6E-409C-BE32-E72D297353CC}">
              <c16:uniqueId val="{00000003-FFB9-4101-90C2-6590BA8B1332}"/>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 (₹)</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Monthly Sales Trend by Product</a:t>
            </a:r>
          </a:p>
        </c:rich>
      </c:tx>
      <c:overlay val="1"/>
    </c:title>
    <c:autoTitleDeleted val="0"/>
    <c:plotArea>
      <c:layout/>
      <c:lineChart>
        <c:grouping val="standard"/>
        <c:varyColors val="1"/>
        <c:ser>
          <c:idx val="0"/>
          <c:order val="0"/>
          <c:tx>
            <c:strRef>
              <c:f>'Sales_Dashboard_Response-1'!$B$224</c:f>
              <c:strCache>
                <c:ptCount val="1"/>
                <c:pt idx="0">
                  <c:v>Tally Course</c:v>
                </c:pt>
              </c:strCache>
            </c:strRef>
          </c:tx>
          <c:spPr>
            <a:ln w="25000">
              <a:solidFill>
                <a:srgbClr val="C0392B"/>
              </a:solidFill>
              <a:prstDash val="solid"/>
            </a:ln>
          </c:spPr>
          <c:marker>
            <c:symbol val="none"/>
          </c:marker>
          <c:cat>
            <c:strRef>
              <c:f>'Sales_Dashboard_Response-1'!$A$225:$A$228</c:f>
              <c:strCache>
                <c:ptCount val="4"/>
                <c:pt idx="0">
                  <c:v>Jan-26</c:v>
                </c:pt>
                <c:pt idx="1">
                  <c:v>Feb-26</c:v>
                </c:pt>
                <c:pt idx="2">
                  <c:v>Mar-26</c:v>
                </c:pt>
                <c:pt idx="3">
                  <c:v>Apr-26</c:v>
                </c:pt>
              </c:strCache>
            </c:strRef>
          </c:cat>
          <c:val>
            <c:numRef>
              <c:f>'Sales_Dashboard_Response-1'!$B$225:$B$228</c:f>
              <c:numCache>
                <c:formatCode>General</c:formatCode>
                <c:ptCount val="4"/>
                <c:pt idx="0">
                  <c:v>911192</c:v>
                </c:pt>
                <c:pt idx="1">
                  <c:v>887816</c:v>
                </c:pt>
                <c:pt idx="2">
                  <c:v>717397</c:v>
                </c:pt>
                <c:pt idx="3">
                  <c:v>702514</c:v>
                </c:pt>
              </c:numCache>
            </c:numRef>
          </c:val>
          <c:smooth val="1"/>
          <c:extLst>
            <c:ext xmlns:c16="http://schemas.microsoft.com/office/drawing/2014/chart" uri="{C3380CC4-5D6E-409C-BE32-E72D297353CC}">
              <c16:uniqueId val="{00000000-F95A-4083-AAC7-A0FB8D4F59C5}"/>
            </c:ext>
          </c:extLst>
        </c:ser>
        <c:ser>
          <c:idx val="1"/>
          <c:order val="1"/>
          <c:tx>
            <c:strRef>
              <c:f>'Sales_Dashboard_Response-1'!$C$224</c:f>
              <c:strCache>
                <c:ptCount val="1"/>
                <c:pt idx="0">
                  <c:v>Excel Course</c:v>
                </c:pt>
              </c:strCache>
            </c:strRef>
          </c:tx>
          <c:spPr>
            <a:ln w="25000">
              <a:solidFill>
                <a:srgbClr val="1A5276"/>
              </a:solidFill>
              <a:prstDash val="solid"/>
            </a:ln>
          </c:spPr>
          <c:marker>
            <c:symbol val="none"/>
          </c:marker>
          <c:cat>
            <c:strRef>
              <c:f>'Sales_Dashboard_Response-1'!$A$225:$A$228</c:f>
              <c:strCache>
                <c:ptCount val="4"/>
                <c:pt idx="0">
                  <c:v>Jan-26</c:v>
                </c:pt>
                <c:pt idx="1">
                  <c:v>Feb-26</c:v>
                </c:pt>
                <c:pt idx="2">
                  <c:v>Mar-26</c:v>
                </c:pt>
                <c:pt idx="3">
                  <c:v>Apr-26</c:v>
                </c:pt>
              </c:strCache>
            </c:strRef>
          </c:cat>
          <c:val>
            <c:numRef>
              <c:f>'Sales_Dashboard_Response-1'!$C$225:$C$228</c:f>
              <c:numCache>
                <c:formatCode>General</c:formatCode>
                <c:ptCount val="4"/>
                <c:pt idx="0">
                  <c:v>572790</c:v>
                </c:pt>
                <c:pt idx="1">
                  <c:v>676323</c:v>
                </c:pt>
                <c:pt idx="2">
                  <c:v>782833</c:v>
                </c:pt>
                <c:pt idx="3">
                  <c:v>875095</c:v>
                </c:pt>
              </c:numCache>
            </c:numRef>
          </c:val>
          <c:smooth val="1"/>
          <c:extLst>
            <c:ext xmlns:c16="http://schemas.microsoft.com/office/drawing/2014/chart" uri="{C3380CC4-5D6E-409C-BE32-E72D297353CC}">
              <c16:uniqueId val="{00000001-F95A-4083-AAC7-A0FB8D4F59C5}"/>
            </c:ext>
          </c:extLst>
        </c:ser>
        <c:ser>
          <c:idx val="2"/>
          <c:order val="2"/>
          <c:tx>
            <c:strRef>
              <c:f>'Sales_Dashboard_Response-1'!$D$224</c:f>
              <c:strCache>
                <c:ptCount val="1"/>
                <c:pt idx="0">
                  <c:v>GST Course</c:v>
                </c:pt>
              </c:strCache>
            </c:strRef>
          </c:tx>
          <c:spPr>
            <a:ln w="25000">
              <a:solidFill>
                <a:srgbClr val="117A65"/>
              </a:solidFill>
              <a:prstDash val="solid"/>
            </a:ln>
          </c:spPr>
          <c:marker>
            <c:symbol val="none"/>
          </c:marker>
          <c:cat>
            <c:strRef>
              <c:f>'Sales_Dashboard_Response-1'!$A$225:$A$228</c:f>
              <c:strCache>
                <c:ptCount val="4"/>
                <c:pt idx="0">
                  <c:v>Jan-26</c:v>
                </c:pt>
                <c:pt idx="1">
                  <c:v>Feb-26</c:v>
                </c:pt>
                <c:pt idx="2">
                  <c:v>Mar-26</c:v>
                </c:pt>
                <c:pt idx="3">
                  <c:v>Apr-26</c:v>
                </c:pt>
              </c:strCache>
            </c:strRef>
          </c:cat>
          <c:val>
            <c:numRef>
              <c:f>'Sales_Dashboard_Response-1'!$D$225:$D$228</c:f>
              <c:numCache>
                <c:formatCode>General</c:formatCode>
                <c:ptCount val="4"/>
                <c:pt idx="0">
                  <c:v>902745</c:v>
                </c:pt>
                <c:pt idx="1">
                  <c:v>519241</c:v>
                </c:pt>
                <c:pt idx="2">
                  <c:v>635288</c:v>
                </c:pt>
                <c:pt idx="3">
                  <c:v>862299</c:v>
                </c:pt>
              </c:numCache>
            </c:numRef>
          </c:val>
          <c:smooth val="1"/>
          <c:extLst>
            <c:ext xmlns:c16="http://schemas.microsoft.com/office/drawing/2014/chart" uri="{C3380CC4-5D6E-409C-BE32-E72D297353CC}">
              <c16:uniqueId val="{00000002-F95A-4083-AAC7-A0FB8D4F59C5}"/>
            </c:ext>
          </c:extLst>
        </c:ser>
        <c:ser>
          <c:idx val="3"/>
          <c:order val="3"/>
          <c:tx>
            <c:strRef>
              <c:f>'Sales_Dashboard_Response-1'!$E$224</c:f>
              <c:strCache>
                <c:ptCount val="1"/>
                <c:pt idx="0">
                  <c:v>Power BI Course</c:v>
                </c:pt>
              </c:strCache>
            </c:strRef>
          </c:tx>
          <c:spPr>
            <a:ln w="25000">
              <a:solidFill>
                <a:srgbClr val="7D3C98"/>
              </a:solidFill>
              <a:prstDash val="solid"/>
            </a:ln>
          </c:spPr>
          <c:marker>
            <c:symbol val="none"/>
          </c:marker>
          <c:cat>
            <c:strRef>
              <c:f>'Sales_Dashboard_Response-1'!$A$225:$A$228</c:f>
              <c:strCache>
                <c:ptCount val="4"/>
                <c:pt idx="0">
                  <c:v>Jan-26</c:v>
                </c:pt>
                <c:pt idx="1">
                  <c:v>Feb-26</c:v>
                </c:pt>
                <c:pt idx="2">
                  <c:v>Mar-26</c:v>
                </c:pt>
                <c:pt idx="3">
                  <c:v>Apr-26</c:v>
                </c:pt>
              </c:strCache>
            </c:strRef>
          </c:cat>
          <c:val>
            <c:numRef>
              <c:f>'Sales_Dashboard_Response-1'!$E$225:$E$228</c:f>
              <c:numCache>
                <c:formatCode>General</c:formatCode>
                <c:ptCount val="4"/>
                <c:pt idx="0">
                  <c:v>558622</c:v>
                </c:pt>
                <c:pt idx="1">
                  <c:v>557024</c:v>
                </c:pt>
                <c:pt idx="2">
                  <c:v>595936</c:v>
                </c:pt>
                <c:pt idx="3">
                  <c:v>912486</c:v>
                </c:pt>
              </c:numCache>
            </c:numRef>
          </c:val>
          <c:smooth val="1"/>
          <c:extLst>
            <c:ext xmlns:c16="http://schemas.microsoft.com/office/drawing/2014/chart" uri="{C3380CC4-5D6E-409C-BE32-E72D297353CC}">
              <c16:uniqueId val="{00000003-F95A-4083-AAC7-A0FB8D4F59C5}"/>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Sales (₹)</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Revenue Share by Region</a:t>
            </a:r>
          </a:p>
        </c:rich>
      </c:tx>
      <c:overlay val="1"/>
    </c:title>
    <c:autoTitleDeleted val="0"/>
    <c:plotArea>
      <c:layout/>
      <c:pieChart>
        <c:varyColors val="1"/>
        <c:ser>
          <c:idx val="0"/>
          <c:order val="0"/>
          <c:tx>
            <c:strRef>
              <c:f>'Sales_Dashboard_Response-1'!$B$232</c:f>
              <c:strCache>
                <c:ptCount val="1"/>
                <c:pt idx="0">
                  <c:v>Sales</c:v>
                </c:pt>
              </c:strCache>
            </c:strRef>
          </c:tx>
          <c:spPr>
            <a:ln>
              <a:prstDash val="solid"/>
            </a:ln>
          </c:spPr>
          <c:cat>
            <c:strRef>
              <c:f>'Sales_Dashboard_Response-1'!$A$233:$A$236</c:f>
              <c:strCache>
                <c:ptCount val="4"/>
                <c:pt idx="0">
                  <c:v>West</c:v>
                </c:pt>
                <c:pt idx="1">
                  <c:v>North</c:v>
                </c:pt>
                <c:pt idx="2">
                  <c:v>East</c:v>
                </c:pt>
                <c:pt idx="3">
                  <c:v>South</c:v>
                </c:pt>
              </c:strCache>
            </c:strRef>
          </c:cat>
          <c:val>
            <c:numRef>
              <c:f>'Sales_Dashboard_Response-1'!$B$233:$B$236</c:f>
              <c:numCache>
                <c:formatCode>General</c:formatCode>
                <c:ptCount val="4"/>
                <c:pt idx="0">
                  <c:v>3607460</c:v>
                </c:pt>
                <c:pt idx="1">
                  <c:v>2748083</c:v>
                </c:pt>
                <c:pt idx="2">
                  <c:v>3000144</c:v>
                </c:pt>
                <c:pt idx="3">
                  <c:v>2464143</c:v>
                </c:pt>
              </c:numCache>
            </c:numRef>
          </c:val>
          <c:extLst>
            <c:ext xmlns:c16="http://schemas.microsoft.com/office/drawing/2014/chart" uri="{C3380CC4-5D6E-409C-BE32-E72D297353CC}">
              <c16:uniqueId val="{00000000-384D-4BA6-8E99-4CE2BFABFAB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IN"/>
              <a:t>Revenue Share by Product</a:t>
            </a:r>
          </a:p>
        </c:rich>
      </c:tx>
      <c:overlay val="1"/>
    </c:title>
    <c:autoTitleDeleted val="0"/>
    <c:plotArea>
      <c:layout/>
      <c:pieChart>
        <c:varyColors val="1"/>
        <c:ser>
          <c:idx val="0"/>
          <c:order val="0"/>
          <c:tx>
            <c:strRef>
              <c:f>'Sales_Dashboard_Response-1'!$B$240</c:f>
              <c:strCache>
                <c:ptCount val="1"/>
                <c:pt idx="0">
                  <c:v>Sales</c:v>
                </c:pt>
              </c:strCache>
            </c:strRef>
          </c:tx>
          <c:spPr>
            <a:ln>
              <a:prstDash val="solid"/>
            </a:ln>
          </c:spPr>
          <c:cat>
            <c:strRef>
              <c:f>'Sales_Dashboard_Response-1'!$A$241:$A$244</c:f>
              <c:strCache>
                <c:ptCount val="4"/>
                <c:pt idx="0">
                  <c:v>Tally Course</c:v>
                </c:pt>
                <c:pt idx="1">
                  <c:v>Excel Course</c:v>
                </c:pt>
                <c:pt idx="2">
                  <c:v>GST Course</c:v>
                </c:pt>
                <c:pt idx="3">
                  <c:v>Power BI Course</c:v>
                </c:pt>
              </c:strCache>
            </c:strRef>
          </c:cat>
          <c:val>
            <c:numRef>
              <c:f>'Sales_Dashboard_Response-1'!$B$241:$B$244</c:f>
              <c:numCache>
                <c:formatCode>General</c:formatCode>
                <c:ptCount val="4"/>
                <c:pt idx="0">
                  <c:v>3277987</c:v>
                </c:pt>
                <c:pt idx="1">
                  <c:v>2954852</c:v>
                </c:pt>
                <c:pt idx="2">
                  <c:v>2919573</c:v>
                </c:pt>
                <c:pt idx="3">
                  <c:v>2667418</c:v>
                </c:pt>
              </c:numCache>
            </c:numRef>
          </c:val>
          <c:extLst>
            <c:ext xmlns:c16="http://schemas.microsoft.com/office/drawing/2014/chart" uri="{C3380CC4-5D6E-409C-BE32-E72D297353CC}">
              <c16:uniqueId val="{00000000-CA1D-43CF-B543-7A38638A2AA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3.xml"/><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5.xml"/><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15240</xdr:colOff>
      <xdr:row>0</xdr:row>
      <xdr:rowOff>76201</xdr:rowOff>
    </xdr:from>
    <xdr:to>
      <xdr:col>15</xdr:col>
      <xdr:colOff>533400</xdr:colOff>
      <xdr:row>9</xdr:row>
      <xdr:rowOff>144780</xdr:rowOff>
    </xdr:to>
    <xdr:sp macro="" textlink="">
      <xdr:nvSpPr>
        <xdr:cNvPr id="2" name="TextBox 3">
          <a:extLst>
            <a:ext uri="{FF2B5EF4-FFF2-40B4-BE49-F238E27FC236}">
              <a16:creationId xmlns:a16="http://schemas.microsoft.com/office/drawing/2014/main" id="{6A3BA34E-4519-4667-BC84-83DA5AF47576}"/>
            </a:ext>
          </a:extLst>
        </xdr:cNvPr>
        <xdr:cNvSpPr txBox="1"/>
      </xdr:nvSpPr>
      <xdr:spPr>
        <a:xfrm>
          <a:off x="9189720" y="76201"/>
          <a:ext cx="4175760" cy="179069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Prompt-01:</a:t>
          </a:r>
        </a:p>
        <a:p>
          <a:endParaRPr lang="en-IN" b="1">
            <a:solidFill>
              <a:schemeClr val="accent2">
                <a:lumMod val="50000"/>
              </a:schemeClr>
            </a:solidFill>
          </a:endParaRPr>
        </a:p>
        <a:p>
          <a:r>
            <a:rPr lang="en-US" b="1">
              <a:solidFill>
                <a:schemeClr val="accent2">
                  <a:lumMod val="50000"/>
                </a:schemeClr>
              </a:solidFill>
            </a:rPr>
            <a:t>We shall work on this attached MS-Excel workbook. Read it carefully. Please share details about the attached MS-Excel workbook "Excel_Demo.xlsx".</a:t>
          </a:r>
          <a:endParaRPr lang="en-IN" b="1">
            <a:solidFill>
              <a:schemeClr val="accent2">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533400</xdr:colOff>
      <xdr:row>6</xdr:row>
      <xdr:rowOff>144780</xdr:rowOff>
    </xdr:from>
    <xdr:to>
      <xdr:col>13</xdr:col>
      <xdr:colOff>3513</xdr:colOff>
      <xdr:row>11</xdr:row>
      <xdr:rowOff>175360</xdr:rowOff>
    </xdr:to>
    <xdr:sp macro="" textlink="">
      <xdr:nvSpPr>
        <xdr:cNvPr id="3" name="TextBox 3">
          <a:extLst>
            <a:ext uri="{FF2B5EF4-FFF2-40B4-BE49-F238E27FC236}">
              <a16:creationId xmlns:a16="http://schemas.microsoft.com/office/drawing/2014/main" id="{F0007C6E-F431-4AA6-8D00-63FD658CB6F3}"/>
            </a:ext>
          </a:extLst>
        </xdr:cNvPr>
        <xdr:cNvSpPr txBox="1"/>
      </xdr:nvSpPr>
      <xdr:spPr>
        <a:xfrm>
          <a:off x="7863840" y="2179320"/>
          <a:ext cx="4346913" cy="17831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Prompt-02:</a:t>
          </a:r>
        </a:p>
        <a:p>
          <a:endParaRPr lang="en-IN" b="1">
            <a:solidFill>
              <a:schemeClr val="accent2">
                <a:lumMod val="50000"/>
              </a:schemeClr>
            </a:solidFill>
          </a:endParaRPr>
        </a:p>
        <a:p>
          <a:r>
            <a:rPr lang="en-US" b="1">
              <a:solidFill>
                <a:schemeClr val="accent2">
                  <a:lumMod val="50000"/>
                </a:schemeClr>
              </a:solidFill>
            </a:rPr>
            <a:t>Create a new "Index" worksheet with hyperlinks for all worksheets in this Excel workbook. Generate a downloadable .xlsx file as outcome.</a:t>
          </a:r>
          <a:endParaRPr lang="en-IN" b="1">
            <a:solidFill>
              <a:schemeClr val="accent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209550</xdr:colOff>
      <xdr:row>10</xdr:row>
      <xdr:rowOff>50800</xdr:rowOff>
    </xdr:from>
    <xdr:to>
      <xdr:col>14</xdr:col>
      <xdr:colOff>723900</xdr:colOff>
      <xdr:row>21</xdr:row>
      <xdr:rowOff>90139</xdr:rowOff>
    </xdr:to>
    <xdr:sp macro="" textlink="">
      <xdr:nvSpPr>
        <xdr:cNvPr id="2" name="TextBox 3">
          <a:extLst>
            <a:ext uri="{FF2B5EF4-FFF2-40B4-BE49-F238E27FC236}">
              <a16:creationId xmlns:a16="http://schemas.microsoft.com/office/drawing/2014/main" id="{C7DE2E7C-B607-496C-BEC6-E7F7BCCA8BC6}"/>
            </a:ext>
          </a:extLst>
        </xdr:cNvPr>
        <xdr:cNvSpPr txBox="1"/>
      </xdr:nvSpPr>
      <xdr:spPr>
        <a:xfrm>
          <a:off x="6070600" y="1892300"/>
          <a:ext cx="5156200"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Prompt-03:</a:t>
          </a:r>
        </a:p>
        <a:p>
          <a:endParaRPr lang="en-IN" b="1">
            <a:solidFill>
              <a:schemeClr val="accent2">
                <a:lumMod val="50000"/>
              </a:schemeClr>
            </a:solidFill>
          </a:endParaRPr>
        </a:p>
        <a:p>
          <a:r>
            <a:rPr lang="en-US" b="1">
              <a:solidFill>
                <a:schemeClr val="accent2">
                  <a:lumMod val="50000"/>
                </a:schemeClr>
              </a:solidFill>
            </a:rPr>
            <a:t>In "Formula" worksheet we have master data in the range A1:G17 and secondary table in the range J1:M10. Generate suitable formulas to fill up columns K, L, M in the secondary table. Generate a downloadable .xlsx file as outcome.</a:t>
          </a:r>
          <a:endParaRPr lang="en-IN" b="1">
            <a:solidFill>
              <a:schemeClr val="accent2">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41564</xdr:colOff>
      <xdr:row>3</xdr:row>
      <xdr:rowOff>249381</xdr:rowOff>
    </xdr:from>
    <xdr:to>
      <xdr:col>17</xdr:col>
      <xdr:colOff>121277</xdr:colOff>
      <xdr:row>4</xdr:row>
      <xdr:rowOff>805083</xdr:rowOff>
    </xdr:to>
    <xdr:sp macro="" textlink="">
      <xdr:nvSpPr>
        <xdr:cNvPr id="3" name="TextBox 3">
          <a:extLst>
            <a:ext uri="{FF2B5EF4-FFF2-40B4-BE49-F238E27FC236}">
              <a16:creationId xmlns:a16="http://schemas.microsoft.com/office/drawing/2014/main" id="{ED33C956-D385-4AEE-ACFC-3F7D4CFE4554}"/>
            </a:ext>
          </a:extLst>
        </xdr:cNvPr>
        <xdr:cNvSpPr txBox="1"/>
      </xdr:nvSpPr>
      <xdr:spPr>
        <a:xfrm>
          <a:off x="15115309" y="1177636"/>
          <a:ext cx="4346913" cy="3188065"/>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Prompt-04:</a:t>
          </a:r>
        </a:p>
        <a:p>
          <a:endParaRPr lang="en-IN" b="1">
            <a:solidFill>
              <a:schemeClr val="accent2">
                <a:lumMod val="50000"/>
              </a:schemeClr>
            </a:solidFill>
          </a:endParaRPr>
        </a:p>
        <a:p>
          <a:r>
            <a:rPr lang="en-US" b="1">
              <a:solidFill>
                <a:schemeClr val="accent2">
                  <a:lumMod val="50000"/>
                </a:schemeClr>
              </a:solidFill>
            </a:rPr>
            <a:t>Using the "Email_Data" worksheet, generate personalized payment reminder emails for clients whose fee status is pending and also generate payment confirmation email for paid clients. Insert a separate new column for these generated emails.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601980</xdr:colOff>
      <xdr:row>7</xdr:row>
      <xdr:rowOff>91440</xdr:rowOff>
    </xdr:from>
    <xdr:to>
      <xdr:col>17</xdr:col>
      <xdr:colOff>72093</xdr:colOff>
      <xdr:row>7</xdr:row>
      <xdr:rowOff>2720045</xdr:rowOff>
    </xdr:to>
    <xdr:sp macro="" textlink="">
      <xdr:nvSpPr>
        <xdr:cNvPr id="2" name="TextBox 3">
          <a:extLst>
            <a:ext uri="{FF2B5EF4-FFF2-40B4-BE49-F238E27FC236}">
              <a16:creationId xmlns:a16="http://schemas.microsoft.com/office/drawing/2014/main" id="{1C7842C2-7FF2-4926-BBE0-11BE7135FAD6}"/>
            </a:ext>
          </a:extLst>
        </xdr:cNvPr>
        <xdr:cNvSpPr txBox="1"/>
      </xdr:nvSpPr>
      <xdr:spPr>
        <a:xfrm>
          <a:off x="15201900" y="1935480"/>
          <a:ext cx="4346913" cy="2628605"/>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Prompt-05:</a:t>
          </a:r>
        </a:p>
        <a:p>
          <a:endParaRPr lang="en-IN" b="1">
            <a:solidFill>
              <a:schemeClr val="accent2">
                <a:lumMod val="50000"/>
              </a:schemeClr>
            </a:solidFill>
          </a:endParaRPr>
        </a:p>
        <a:p>
          <a:r>
            <a:rPr lang="en-US" b="1">
              <a:solidFill>
                <a:schemeClr val="accent2">
                  <a:lumMod val="50000"/>
                </a:schemeClr>
              </a:solidFill>
            </a:rPr>
            <a:t>Using the "Email_Data" worksheet, draft follow-up emails for students who enrolled in Advanced Excel course. Insert a separate new column for these generated emails.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91441</xdr:colOff>
      <xdr:row>3</xdr:row>
      <xdr:rowOff>83820</xdr:rowOff>
    </xdr:from>
    <xdr:to>
      <xdr:col>12</xdr:col>
      <xdr:colOff>586741</xdr:colOff>
      <xdr:row>15</xdr:row>
      <xdr:rowOff>53340</xdr:rowOff>
    </xdr:to>
    <xdr:sp macro="" textlink="">
      <xdr:nvSpPr>
        <xdr:cNvPr id="2" name="TextBox 3">
          <a:extLst>
            <a:ext uri="{FF2B5EF4-FFF2-40B4-BE49-F238E27FC236}">
              <a16:creationId xmlns:a16="http://schemas.microsoft.com/office/drawing/2014/main" id="{0C24A1B4-7F34-46E4-BBE1-18B07D00726F}"/>
            </a:ext>
          </a:extLst>
        </xdr:cNvPr>
        <xdr:cNvSpPr txBox="1"/>
      </xdr:nvSpPr>
      <xdr:spPr>
        <a:xfrm>
          <a:off x="10180321" y="1402080"/>
          <a:ext cx="3558540" cy="234696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Prompt-06:</a:t>
          </a:r>
        </a:p>
        <a:p>
          <a:endParaRPr lang="en-IN" b="1">
            <a:solidFill>
              <a:schemeClr val="accent2">
                <a:lumMod val="50000"/>
              </a:schemeClr>
            </a:solidFill>
          </a:endParaRPr>
        </a:p>
        <a:p>
          <a:r>
            <a:rPr lang="en-US" b="1">
              <a:solidFill>
                <a:schemeClr val="accent2">
                  <a:lumMod val="50000"/>
                </a:schemeClr>
              </a:solidFill>
            </a:rPr>
            <a:t>Clean the "Raw_Messy_Data" worksheet by removing extra spaces, standardizing city names, and removing duplicate records. Generate a downloadable .xlsx file as outcome. </a:t>
          </a:r>
          <a:endParaRPr lang="en-IN" b="1">
            <a:solidFill>
              <a:schemeClr val="accent2">
                <a:lumMod val="50000"/>
              </a:schemeClr>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1</xdr:row>
      <xdr:rowOff>0</xdr:rowOff>
    </xdr:from>
    <xdr:to>
      <xdr:col>16</xdr:col>
      <xdr:colOff>79713</xdr:colOff>
      <xdr:row>12</xdr:row>
      <xdr:rowOff>114005</xdr:rowOff>
    </xdr:to>
    <xdr:sp macro="" textlink="">
      <xdr:nvSpPr>
        <xdr:cNvPr id="2" name="TextBox 3">
          <a:extLst>
            <a:ext uri="{FF2B5EF4-FFF2-40B4-BE49-F238E27FC236}">
              <a16:creationId xmlns:a16="http://schemas.microsoft.com/office/drawing/2014/main" id="{DE694013-FD9C-4099-B211-6758866D9FAD}"/>
            </a:ext>
          </a:extLst>
        </xdr:cNvPr>
        <xdr:cNvSpPr txBox="1"/>
      </xdr:nvSpPr>
      <xdr:spPr>
        <a:xfrm>
          <a:off x="8427720" y="274320"/>
          <a:ext cx="4346913" cy="2628605"/>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Prompt-07:</a:t>
          </a:r>
        </a:p>
        <a:p>
          <a:endParaRPr lang="en-IN" b="1">
            <a:solidFill>
              <a:schemeClr val="accent2">
                <a:lumMod val="50000"/>
              </a:schemeClr>
            </a:solidFill>
          </a:endParaRPr>
        </a:p>
        <a:p>
          <a:r>
            <a:rPr lang="en-US" b="1">
              <a:solidFill>
                <a:schemeClr val="accent2">
                  <a:lumMod val="50000"/>
                </a:schemeClr>
              </a:solidFill>
            </a:rPr>
            <a:t>Using the "Payroll_Data" worksheet, create a formula to calculate net salary as Basic Salary + Bonus − Deductions. Insert a separate new column for these calculated values.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5</xdr:row>
      <xdr:rowOff>0</xdr:rowOff>
    </xdr:from>
    <xdr:to>
      <xdr:col>20</xdr:col>
      <xdr:colOff>79713</xdr:colOff>
      <xdr:row>13</xdr:row>
      <xdr:rowOff>137129</xdr:rowOff>
    </xdr:to>
    <xdr:sp macro="" textlink="">
      <xdr:nvSpPr>
        <xdr:cNvPr id="2" name="TextBox 3">
          <a:extLst>
            <a:ext uri="{FF2B5EF4-FFF2-40B4-BE49-F238E27FC236}">
              <a16:creationId xmlns:a16="http://schemas.microsoft.com/office/drawing/2014/main" id="{4DC34CAC-0313-4984-A428-07D51AC1E200}"/>
            </a:ext>
          </a:extLst>
        </xdr:cNvPr>
        <xdr:cNvSpPr txBox="1"/>
      </xdr:nvSpPr>
      <xdr:spPr>
        <a:xfrm>
          <a:off x="11925300" y="156210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Prompt-08:</a:t>
          </a:r>
        </a:p>
        <a:p>
          <a:endParaRPr lang="en-IN" b="1">
            <a:solidFill>
              <a:schemeClr val="accent2">
                <a:lumMod val="50000"/>
              </a:schemeClr>
            </a:solidFill>
          </a:endParaRPr>
        </a:p>
        <a:p>
          <a:r>
            <a:rPr lang="en-US" b="1">
              <a:solidFill>
                <a:schemeClr val="accent2">
                  <a:lumMod val="50000"/>
                </a:schemeClr>
              </a:solidFill>
            </a:rPr>
            <a:t>Generate a worksheet on department-wise payroll summary based on the "Payroll_Data" worksheet. Do the necessary conditional formatting. Generate a downloadable .xlsx file as outcome. </a:t>
          </a:r>
          <a:endParaRPr lang="en-IN" b="1">
            <a:solidFill>
              <a:schemeClr val="accent2">
                <a:lumMod val="50000"/>
              </a:schemeClr>
            </a:solidFill>
          </a:endParaRPr>
        </a:p>
      </xdr:txBody>
    </xdr:sp>
    <xdr:clientData/>
  </xdr:twoCellAnchor>
  <xdr:oneCellAnchor>
    <xdr:from>
      <xdr:col>10</xdr:col>
      <xdr:colOff>0</xdr:colOff>
      <xdr:row>16</xdr:row>
      <xdr:rowOff>0</xdr:rowOff>
    </xdr:from>
    <xdr:ext cx="6480000" cy="4320000"/>
    <xdr:graphicFrame macro="">
      <xdr:nvGraphicFramePr>
        <xdr:cNvPr id="3" name="Chart 2">
          <a:extLst>
            <a:ext uri="{FF2B5EF4-FFF2-40B4-BE49-F238E27FC236}">
              <a16:creationId xmlns:a16="http://schemas.microsoft.com/office/drawing/2014/main" id="{049C2457-FDF4-4D90-9D82-5374FD541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9.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186393</xdr:colOff>
      <xdr:row>15</xdr:row>
      <xdr:rowOff>53309</xdr:rowOff>
    </xdr:to>
    <xdr:sp macro="" textlink="">
      <xdr:nvSpPr>
        <xdr:cNvPr id="2" name="TextBox 3">
          <a:extLst>
            <a:ext uri="{FF2B5EF4-FFF2-40B4-BE49-F238E27FC236}">
              <a16:creationId xmlns:a16="http://schemas.microsoft.com/office/drawing/2014/main" id="{D13888AE-F6A5-4F3D-998C-F99A413CF5D8}"/>
            </a:ext>
          </a:extLst>
        </xdr:cNvPr>
        <xdr:cNvSpPr txBox="1"/>
      </xdr:nvSpPr>
      <xdr:spPr>
        <a:xfrm>
          <a:off x="12275820" y="101346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Prompt-09:</a:t>
          </a:r>
        </a:p>
        <a:p>
          <a:endParaRPr lang="en-IN" b="1">
            <a:solidFill>
              <a:schemeClr val="accent2">
                <a:lumMod val="50000"/>
              </a:schemeClr>
            </a:solidFill>
          </a:endParaRPr>
        </a:p>
        <a:p>
          <a:r>
            <a:rPr lang="en-US" b="1">
              <a:solidFill>
                <a:schemeClr val="accent2">
                  <a:lumMod val="50000"/>
                </a:schemeClr>
              </a:solidFill>
            </a:rPr>
            <a:t>Compare the "Bank_Books" and "Bank_Statement" worksheets and identify unmatched transactions.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7</xdr:row>
      <xdr:rowOff>0</xdr:rowOff>
    </xdr:from>
    <xdr:to>
      <xdr:col>16</xdr:col>
      <xdr:colOff>186393</xdr:colOff>
      <xdr:row>15</xdr:row>
      <xdr:rowOff>175229</xdr:rowOff>
    </xdr:to>
    <xdr:sp macro="" textlink="">
      <xdr:nvSpPr>
        <xdr:cNvPr id="2" name="TextBox 3">
          <a:extLst>
            <a:ext uri="{FF2B5EF4-FFF2-40B4-BE49-F238E27FC236}">
              <a16:creationId xmlns:a16="http://schemas.microsoft.com/office/drawing/2014/main" id="{933E9DDF-7455-49A6-93D8-6A12B6A0CF88}"/>
            </a:ext>
          </a:extLst>
        </xdr:cNvPr>
        <xdr:cNvSpPr txBox="1"/>
      </xdr:nvSpPr>
      <xdr:spPr>
        <a:xfrm>
          <a:off x="11254740" y="163068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Prompt-10:</a:t>
          </a:r>
        </a:p>
        <a:p>
          <a:endParaRPr lang="en-IN" b="1">
            <a:solidFill>
              <a:schemeClr val="accent2">
                <a:lumMod val="50000"/>
              </a:schemeClr>
            </a:solidFill>
          </a:endParaRPr>
        </a:p>
        <a:p>
          <a:r>
            <a:rPr lang="en-US" b="1">
              <a:solidFill>
                <a:schemeClr val="accent2">
                  <a:lumMod val="50000"/>
                </a:schemeClr>
              </a:solidFill>
            </a:rPr>
            <a:t>Prepare a reconciliation report showing missing entries between "Bank_Books" and "Bank_Statement" worksheets. Do the necessary conditional formatting. Generate a downloadable .xlsx file as outcome.</a:t>
          </a:r>
          <a:endParaRPr lang="en-IN" b="1">
            <a:solidFill>
              <a:schemeClr val="accent2">
                <a:lumMod val="50000"/>
              </a:schemeClr>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37</xdr:row>
      <xdr:rowOff>0</xdr:rowOff>
    </xdr:from>
    <xdr:to>
      <xdr:col>5</xdr:col>
      <xdr:colOff>614160</xdr:colOff>
      <xdr:row>59</xdr:row>
      <xdr:rowOff>128520</xdr:rowOff>
    </xdr:to>
    <xdr:graphicFrame macro="">
      <xdr:nvGraphicFramePr>
        <xdr:cNvPr id="2" name="Chart 1">
          <a:extLst>
            <a:ext uri="{FF2B5EF4-FFF2-40B4-BE49-F238E27FC236}">
              <a16:creationId xmlns:a16="http://schemas.microsoft.com/office/drawing/2014/main" id="{2DE82ADE-152B-4D62-9D30-EE6253A9A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723900</xdr:colOff>
      <xdr:row>37</xdr:row>
      <xdr:rowOff>0</xdr:rowOff>
    </xdr:from>
    <xdr:to>
      <xdr:col>13</xdr:col>
      <xdr:colOff>227700</xdr:colOff>
      <xdr:row>59</xdr:row>
      <xdr:rowOff>128520</xdr:rowOff>
    </xdr:to>
    <xdr:graphicFrame macro="">
      <xdr:nvGraphicFramePr>
        <xdr:cNvPr id="3" name="Chart 2">
          <a:extLst>
            <a:ext uri="{FF2B5EF4-FFF2-40B4-BE49-F238E27FC236}">
              <a16:creationId xmlns:a16="http://schemas.microsoft.com/office/drawing/2014/main" id="{07447443-E04D-4146-927C-67E3A314A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xdr:row>
      <xdr:rowOff>0</xdr:rowOff>
    </xdr:from>
    <xdr:to>
      <xdr:col>19</xdr:col>
      <xdr:colOff>186393</xdr:colOff>
      <xdr:row>11</xdr:row>
      <xdr:rowOff>175260</xdr:rowOff>
    </xdr:to>
    <xdr:sp macro="" textlink="">
      <xdr:nvSpPr>
        <xdr:cNvPr id="4" name="TextBox 3">
          <a:extLst>
            <a:ext uri="{FF2B5EF4-FFF2-40B4-BE49-F238E27FC236}">
              <a16:creationId xmlns:a16="http://schemas.microsoft.com/office/drawing/2014/main" id="{5D8367AF-E6E2-40AB-A1AA-C0426D124753}"/>
            </a:ext>
          </a:extLst>
        </xdr:cNvPr>
        <xdr:cNvSpPr txBox="1"/>
      </xdr:nvSpPr>
      <xdr:spPr>
        <a:xfrm>
          <a:off x="9784080" y="769620"/>
          <a:ext cx="4346913" cy="1844040"/>
        </a:xfrm>
        <a:prstGeom prst="rect">
          <a:avLst/>
        </a:prstGeom>
        <a:blipFill dpi="0" rotWithShape="1">
          <a:blip xmlns:r="http://schemas.openxmlformats.org/officeDocument/2006/relationships" r:embed="rId3">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Prompt-11:</a:t>
          </a:r>
        </a:p>
        <a:p>
          <a:endParaRPr lang="en-IN" b="1">
            <a:solidFill>
              <a:schemeClr val="accent2">
                <a:lumMod val="50000"/>
              </a:schemeClr>
            </a:solidFill>
          </a:endParaRPr>
        </a:p>
        <a:p>
          <a:r>
            <a:rPr lang="en-US" b="1">
              <a:solidFill>
                <a:schemeClr val="accent2">
                  <a:lumMod val="50000"/>
                </a:schemeClr>
              </a:solidFill>
            </a:rPr>
            <a:t>Create a category-wise expense summary from the "Expenses" worksheet.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87</xdr:row>
      <xdr:rowOff>0</xdr:rowOff>
    </xdr:from>
    <xdr:to>
      <xdr:col>5</xdr:col>
      <xdr:colOff>414300</xdr:colOff>
      <xdr:row>109</xdr:row>
      <xdr:rowOff>128520</xdr:rowOff>
    </xdr:to>
    <xdr:graphicFrame macro="">
      <xdr:nvGraphicFramePr>
        <xdr:cNvPr id="2" name="Chart 1">
          <a:extLst>
            <a:ext uri="{FF2B5EF4-FFF2-40B4-BE49-F238E27FC236}">
              <a16:creationId xmlns:a16="http://schemas.microsoft.com/office/drawing/2014/main" id="{F87EBF20-DF11-4CC2-A52C-E900C71D6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586740</xdr:colOff>
      <xdr:row>87</xdr:row>
      <xdr:rowOff>0</xdr:rowOff>
    </xdr:from>
    <xdr:to>
      <xdr:col>13</xdr:col>
      <xdr:colOff>305640</xdr:colOff>
      <xdr:row>109</xdr:row>
      <xdr:rowOff>128520</xdr:rowOff>
    </xdr:to>
    <xdr:graphicFrame macro="">
      <xdr:nvGraphicFramePr>
        <xdr:cNvPr id="3" name="Chart 2">
          <a:extLst>
            <a:ext uri="{FF2B5EF4-FFF2-40B4-BE49-F238E27FC236}">
              <a16:creationId xmlns:a16="http://schemas.microsoft.com/office/drawing/2014/main" id="{7B31078C-792B-4083-9111-D0126972B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13</xdr:row>
      <xdr:rowOff>0</xdr:rowOff>
    </xdr:from>
    <xdr:to>
      <xdr:col>17</xdr:col>
      <xdr:colOff>392133</xdr:colOff>
      <xdr:row>23</xdr:row>
      <xdr:rowOff>68549</xdr:rowOff>
    </xdr:to>
    <xdr:sp macro="" textlink="">
      <xdr:nvSpPr>
        <xdr:cNvPr id="4" name="TextBox 3">
          <a:extLst>
            <a:ext uri="{FF2B5EF4-FFF2-40B4-BE49-F238E27FC236}">
              <a16:creationId xmlns:a16="http://schemas.microsoft.com/office/drawing/2014/main" id="{7534E76D-325A-4363-BE55-7DAB89294B1F}"/>
            </a:ext>
          </a:extLst>
        </xdr:cNvPr>
        <xdr:cNvSpPr txBox="1"/>
      </xdr:nvSpPr>
      <xdr:spPr>
        <a:xfrm>
          <a:off x="9342120" y="2560320"/>
          <a:ext cx="4346913" cy="2064989"/>
        </a:xfrm>
        <a:prstGeom prst="rect">
          <a:avLst/>
        </a:prstGeom>
        <a:blipFill dpi="0" rotWithShape="1">
          <a:blip xmlns:r="http://schemas.openxmlformats.org/officeDocument/2006/relationships" r:embed="rId3">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Prompt-12:</a:t>
          </a:r>
        </a:p>
        <a:p>
          <a:endParaRPr lang="en-IN" b="1">
            <a:solidFill>
              <a:schemeClr val="accent2">
                <a:lumMod val="50000"/>
              </a:schemeClr>
            </a:solidFill>
          </a:endParaRPr>
        </a:p>
        <a:p>
          <a:r>
            <a:rPr lang="en-US" b="1">
              <a:solidFill>
                <a:schemeClr val="accent2">
                  <a:lumMod val="50000"/>
                </a:schemeClr>
              </a:solidFill>
            </a:rPr>
            <a:t>Generate a monthly expense report and identify the highest expense category.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0</xdr:colOff>
      <xdr:row>1</xdr:row>
      <xdr:rowOff>53340</xdr:rowOff>
    </xdr:from>
    <xdr:to>
      <xdr:col>15</xdr:col>
      <xdr:colOff>79713</xdr:colOff>
      <xdr:row>10</xdr:row>
      <xdr:rowOff>60929</xdr:rowOff>
    </xdr:to>
    <xdr:sp macro="" textlink="">
      <xdr:nvSpPr>
        <xdr:cNvPr id="2" name="TextBox 3">
          <a:extLst>
            <a:ext uri="{FF2B5EF4-FFF2-40B4-BE49-F238E27FC236}">
              <a16:creationId xmlns:a16="http://schemas.microsoft.com/office/drawing/2014/main" id="{5BCF7847-D6E9-47A1-8E44-AD601DE2306C}"/>
            </a:ext>
          </a:extLst>
        </xdr:cNvPr>
        <xdr:cNvSpPr txBox="1"/>
      </xdr:nvSpPr>
      <xdr:spPr>
        <a:xfrm>
          <a:off x="7117080" y="32766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Prompt-13:</a:t>
          </a:r>
        </a:p>
        <a:p>
          <a:endParaRPr lang="en-IN" b="1">
            <a:solidFill>
              <a:schemeClr val="accent2">
                <a:lumMod val="50000"/>
              </a:schemeClr>
            </a:solidFill>
          </a:endParaRPr>
        </a:p>
        <a:p>
          <a:r>
            <a:rPr lang="en-US" b="1">
              <a:solidFill>
                <a:schemeClr val="accent2">
                  <a:lumMod val="50000"/>
                </a:schemeClr>
              </a:solidFill>
            </a:rPr>
            <a:t>From the "Inventory" worksheet, identify items where stock available is below the reorder level.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388620</xdr:colOff>
      <xdr:row>9</xdr:row>
      <xdr:rowOff>99060</xdr:rowOff>
    </xdr:from>
    <xdr:to>
      <xdr:col>16</xdr:col>
      <xdr:colOff>468333</xdr:colOff>
      <xdr:row>19</xdr:row>
      <xdr:rowOff>183695</xdr:rowOff>
    </xdr:to>
    <xdr:sp macro="" textlink="">
      <xdr:nvSpPr>
        <xdr:cNvPr id="2" name="TextBox 3">
          <a:extLst>
            <a:ext uri="{FF2B5EF4-FFF2-40B4-BE49-F238E27FC236}">
              <a16:creationId xmlns:a16="http://schemas.microsoft.com/office/drawing/2014/main" id="{5DC3549E-28F1-487E-B9AD-DC7A56704496}"/>
            </a:ext>
          </a:extLst>
        </xdr:cNvPr>
        <xdr:cNvSpPr txBox="1"/>
      </xdr:nvSpPr>
      <xdr:spPr>
        <a:xfrm>
          <a:off x="8755380" y="2209800"/>
          <a:ext cx="4346913" cy="2065835"/>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Prompt-14:</a:t>
          </a:r>
        </a:p>
        <a:p>
          <a:endParaRPr lang="en-IN" b="1">
            <a:solidFill>
              <a:schemeClr val="accent2">
                <a:lumMod val="50000"/>
              </a:schemeClr>
            </a:solidFill>
          </a:endParaRPr>
        </a:p>
        <a:p>
          <a:r>
            <a:rPr lang="en-US" b="1">
              <a:solidFill>
                <a:schemeClr val="accent2">
                  <a:lumMod val="50000"/>
                </a:schemeClr>
              </a:solidFill>
            </a:rPr>
            <a:t>Create a summary report of total items and low stock items from the "Inventory" worksheet.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0</xdr:colOff>
      <xdr:row>9</xdr:row>
      <xdr:rowOff>0</xdr:rowOff>
    </xdr:from>
    <xdr:to>
      <xdr:col>17</xdr:col>
      <xdr:colOff>79713</xdr:colOff>
      <xdr:row>18</xdr:row>
      <xdr:rowOff>159989</xdr:rowOff>
    </xdr:to>
    <xdr:sp macro="" textlink="">
      <xdr:nvSpPr>
        <xdr:cNvPr id="2" name="TextBox 3">
          <a:extLst>
            <a:ext uri="{FF2B5EF4-FFF2-40B4-BE49-F238E27FC236}">
              <a16:creationId xmlns:a16="http://schemas.microsoft.com/office/drawing/2014/main" id="{E670C896-02A3-43CE-82F0-EF03FD8EB187}"/>
            </a:ext>
          </a:extLst>
        </xdr:cNvPr>
        <xdr:cNvSpPr txBox="1"/>
      </xdr:nvSpPr>
      <xdr:spPr>
        <a:xfrm>
          <a:off x="9652000" y="2226733"/>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Prompt-15:</a:t>
          </a:r>
        </a:p>
        <a:p>
          <a:endParaRPr lang="en-IN" b="1">
            <a:solidFill>
              <a:schemeClr val="accent2">
                <a:lumMod val="50000"/>
              </a:schemeClr>
            </a:solidFill>
          </a:endParaRPr>
        </a:p>
        <a:p>
          <a:r>
            <a:rPr lang="en-US" b="1">
              <a:solidFill>
                <a:schemeClr val="accent2">
                  <a:lumMod val="50000"/>
                </a:schemeClr>
              </a:solidFill>
            </a:rPr>
            <a:t>From the "Client_Followup" worksheet, identify clients who need follow-up in the next 7 days.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9</xdr:col>
      <xdr:colOff>121920</xdr:colOff>
      <xdr:row>3</xdr:row>
      <xdr:rowOff>137160</xdr:rowOff>
    </xdr:from>
    <xdr:to>
      <xdr:col>15</xdr:col>
      <xdr:colOff>87333</xdr:colOff>
      <xdr:row>16</xdr:row>
      <xdr:rowOff>76200</xdr:rowOff>
    </xdr:to>
    <xdr:sp macro="" textlink="">
      <xdr:nvSpPr>
        <xdr:cNvPr id="2" name="TextBox 3">
          <a:extLst>
            <a:ext uri="{FF2B5EF4-FFF2-40B4-BE49-F238E27FC236}">
              <a16:creationId xmlns:a16="http://schemas.microsoft.com/office/drawing/2014/main" id="{68799A39-3C40-42A8-81DC-DEEBB2872EC8}"/>
            </a:ext>
          </a:extLst>
        </xdr:cNvPr>
        <xdr:cNvSpPr txBox="1"/>
      </xdr:nvSpPr>
      <xdr:spPr>
        <a:xfrm>
          <a:off x="9867900" y="769620"/>
          <a:ext cx="3623013" cy="2468880"/>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Prompt-16:</a:t>
          </a:r>
        </a:p>
        <a:p>
          <a:endParaRPr lang="en-IN" b="1">
            <a:solidFill>
              <a:schemeClr val="accent2">
                <a:lumMod val="50000"/>
              </a:schemeClr>
            </a:solidFill>
          </a:endParaRPr>
        </a:p>
        <a:p>
          <a:r>
            <a:rPr lang="en-US" b="1">
              <a:solidFill>
                <a:schemeClr val="accent2">
                  <a:lumMod val="50000"/>
                </a:schemeClr>
              </a:solidFill>
            </a:rPr>
            <a:t>Create a summary of client status such as Interested, Negotiation, and Closed from the "Client_Followup" worksheet.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10</xdr:col>
      <xdr:colOff>0</xdr:colOff>
      <xdr:row>10</xdr:row>
      <xdr:rowOff>0</xdr:rowOff>
    </xdr:from>
    <xdr:to>
      <xdr:col>17</xdr:col>
      <xdr:colOff>79713</xdr:colOff>
      <xdr:row>20</xdr:row>
      <xdr:rowOff>49922</xdr:rowOff>
    </xdr:to>
    <xdr:sp macro="" textlink="">
      <xdr:nvSpPr>
        <xdr:cNvPr id="2" name="TextBox 3">
          <a:extLst>
            <a:ext uri="{FF2B5EF4-FFF2-40B4-BE49-F238E27FC236}">
              <a16:creationId xmlns:a16="http://schemas.microsoft.com/office/drawing/2014/main" id="{D9B93813-AAAC-4E15-9A83-21483524DBBF}"/>
            </a:ext>
          </a:extLst>
        </xdr:cNvPr>
        <xdr:cNvSpPr txBox="1"/>
      </xdr:nvSpPr>
      <xdr:spPr>
        <a:xfrm>
          <a:off x="12649200" y="2099733"/>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Prompt-17:</a:t>
          </a:r>
        </a:p>
        <a:p>
          <a:endParaRPr lang="en-IN" b="1">
            <a:solidFill>
              <a:schemeClr val="accent2">
                <a:lumMod val="50000"/>
              </a:schemeClr>
            </a:solidFill>
          </a:endParaRPr>
        </a:p>
        <a:p>
          <a:r>
            <a:rPr lang="en-US" b="1">
              <a:solidFill>
                <a:schemeClr val="accent2">
                  <a:lumMod val="50000"/>
                </a:schemeClr>
              </a:solidFill>
            </a:rPr>
            <a:t>Analyze the "Budget_vs_Actual" worksheet and identify which departments exceeded their budget.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0</xdr:col>
      <xdr:colOff>0</xdr:colOff>
      <xdr:row>53</xdr:row>
      <xdr:rowOff>0</xdr:rowOff>
    </xdr:from>
    <xdr:ext cx="7920000" cy="4680000"/>
    <xdr:graphicFrame macro="">
      <xdr:nvGraphicFramePr>
        <xdr:cNvPr id="2" name="Chart 1">
          <a:extLst>
            <a:ext uri="{FF2B5EF4-FFF2-40B4-BE49-F238E27FC236}">
              <a16:creationId xmlns:a16="http://schemas.microsoft.com/office/drawing/2014/main" id="{FFB3EAE6-F799-41AE-AE39-6CE2612AF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12</xdr:col>
      <xdr:colOff>0</xdr:colOff>
      <xdr:row>11</xdr:row>
      <xdr:rowOff>0</xdr:rowOff>
    </xdr:from>
    <xdr:to>
      <xdr:col>19</xdr:col>
      <xdr:colOff>79713</xdr:colOff>
      <xdr:row>19</xdr:row>
      <xdr:rowOff>47930</xdr:rowOff>
    </xdr:to>
    <xdr:sp macro="" textlink="">
      <xdr:nvSpPr>
        <xdr:cNvPr id="3" name="TextBox 3">
          <a:extLst>
            <a:ext uri="{FF2B5EF4-FFF2-40B4-BE49-F238E27FC236}">
              <a16:creationId xmlns:a16="http://schemas.microsoft.com/office/drawing/2014/main" id="{51CC3243-6D1B-42C4-B03D-62F56C7DB383}"/>
            </a:ext>
          </a:extLst>
        </xdr:cNvPr>
        <xdr:cNvSpPr txBox="1"/>
      </xdr:nvSpPr>
      <xdr:spPr>
        <a:xfrm>
          <a:off x="12882282" y="2832847"/>
          <a:ext cx="4346913" cy="2064989"/>
        </a:xfrm>
        <a:prstGeom prst="rect">
          <a:avLst/>
        </a:prstGeom>
        <a:blipFill dpi="0" rotWithShape="1">
          <a:blip xmlns:r="http://schemas.openxmlformats.org/officeDocument/2006/relationships" r:embed="rId2">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Prompt-18:</a:t>
          </a:r>
        </a:p>
        <a:p>
          <a:endParaRPr lang="en-IN" b="1">
            <a:solidFill>
              <a:schemeClr val="accent2">
                <a:lumMod val="50000"/>
              </a:schemeClr>
            </a:solidFill>
          </a:endParaRPr>
        </a:p>
        <a:p>
          <a:r>
            <a:rPr lang="en-US" b="1">
              <a:solidFill>
                <a:schemeClr val="accent2">
                  <a:lumMod val="50000"/>
                </a:schemeClr>
              </a:solidFill>
            </a:rPr>
            <a:t>Create a report showing variance between budget and actual spending for each department.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0</xdr:col>
      <xdr:colOff>83127</xdr:colOff>
      <xdr:row>26</xdr:row>
      <xdr:rowOff>138546</xdr:rowOff>
    </xdr:from>
    <xdr:ext cx="6480000" cy="4320000"/>
    <xdr:graphicFrame macro="">
      <xdr:nvGraphicFramePr>
        <xdr:cNvPr id="2" name="Chart 1">
          <a:extLst>
            <a:ext uri="{FF2B5EF4-FFF2-40B4-BE49-F238E27FC236}">
              <a16:creationId xmlns:a16="http://schemas.microsoft.com/office/drawing/2014/main" id="{450EC44B-4382-4112-BC96-DD023C1D3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27709</xdr:colOff>
      <xdr:row>26</xdr:row>
      <xdr:rowOff>83128</xdr:rowOff>
    </xdr:from>
    <xdr:ext cx="6480000" cy="4320000"/>
    <xdr:graphicFrame macro="">
      <xdr:nvGraphicFramePr>
        <xdr:cNvPr id="3" name="Chart 2">
          <a:extLst>
            <a:ext uri="{FF2B5EF4-FFF2-40B4-BE49-F238E27FC236}">
              <a16:creationId xmlns:a16="http://schemas.microsoft.com/office/drawing/2014/main" id="{613C05B1-4F19-44BA-883A-5F9961EC8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69273</xdr:colOff>
      <xdr:row>51</xdr:row>
      <xdr:rowOff>55417</xdr:rowOff>
    </xdr:from>
    <xdr:ext cx="8640000" cy="4680000"/>
    <xdr:graphicFrame macro="">
      <xdr:nvGraphicFramePr>
        <xdr:cNvPr id="4" name="Chart 3">
          <a:extLst>
            <a:ext uri="{FF2B5EF4-FFF2-40B4-BE49-F238E27FC236}">
              <a16:creationId xmlns:a16="http://schemas.microsoft.com/office/drawing/2014/main" id="{D7466BC7-6961-471E-A7FF-8B24D9485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817418</xdr:colOff>
      <xdr:row>51</xdr:row>
      <xdr:rowOff>55417</xdr:rowOff>
    </xdr:from>
    <xdr:ext cx="8640000" cy="4680000"/>
    <xdr:graphicFrame macro="">
      <xdr:nvGraphicFramePr>
        <xdr:cNvPr id="5" name="Chart 4">
          <a:extLst>
            <a:ext uri="{FF2B5EF4-FFF2-40B4-BE49-F238E27FC236}">
              <a16:creationId xmlns:a16="http://schemas.microsoft.com/office/drawing/2014/main" id="{4380B6CC-4C7D-4E5B-BF33-9D2DFE59C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55418</xdr:colOff>
      <xdr:row>78</xdr:row>
      <xdr:rowOff>124691</xdr:rowOff>
    </xdr:from>
    <xdr:ext cx="5040000" cy="4320000"/>
    <xdr:graphicFrame macro="">
      <xdr:nvGraphicFramePr>
        <xdr:cNvPr id="6" name="Chart 5">
          <a:extLst>
            <a:ext uri="{FF2B5EF4-FFF2-40B4-BE49-F238E27FC236}">
              <a16:creationId xmlns:a16="http://schemas.microsoft.com/office/drawing/2014/main" id="{4C07D67F-9F79-41E0-9420-11B58EE8F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5</xdr:col>
      <xdr:colOff>96982</xdr:colOff>
      <xdr:row>78</xdr:row>
      <xdr:rowOff>110836</xdr:rowOff>
    </xdr:from>
    <xdr:ext cx="5040000" cy="4320000"/>
    <xdr:graphicFrame macro="">
      <xdr:nvGraphicFramePr>
        <xdr:cNvPr id="7" name="Chart 6">
          <a:extLst>
            <a:ext uri="{FF2B5EF4-FFF2-40B4-BE49-F238E27FC236}">
              <a16:creationId xmlns:a16="http://schemas.microsoft.com/office/drawing/2014/main" id="{BBA27D7C-E78B-4E7E-969E-B22D0FBEB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twoCellAnchor>
    <xdr:from>
      <xdr:col>16</xdr:col>
      <xdr:colOff>283028</xdr:colOff>
      <xdr:row>20</xdr:row>
      <xdr:rowOff>152400</xdr:rowOff>
    </xdr:from>
    <xdr:to>
      <xdr:col>21</xdr:col>
      <xdr:colOff>528748</xdr:colOff>
      <xdr:row>31</xdr:row>
      <xdr:rowOff>97971</xdr:rowOff>
    </xdr:to>
    <xdr:sp macro="" textlink="">
      <xdr:nvSpPr>
        <xdr:cNvPr id="8" name="TextBox 3">
          <a:extLst>
            <a:ext uri="{FF2B5EF4-FFF2-40B4-BE49-F238E27FC236}">
              <a16:creationId xmlns:a16="http://schemas.microsoft.com/office/drawing/2014/main" id="{C647EF84-6590-4542-B9C1-12014C0279CB}"/>
            </a:ext>
          </a:extLst>
        </xdr:cNvPr>
        <xdr:cNvSpPr txBox="1"/>
      </xdr:nvSpPr>
      <xdr:spPr>
        <a:xfrm>
          <a:off x="15588342" y="5127171"/>
          <a:ext cx="4338749" cy="2133600"/>
        </a:xfrm>
        <a:prstGeom prst="rect">
          <a:avLst/>
        </a:prstGeom>
        <a:blipFill dpi="0" rotWithShape="1">
          <a:blip xmlns:r="http://schemas.openxmlformats.org/officeDocument/2006/relationships" r:embed="rId7">
            <a:alphaModFix amt="62000"/>
          </a:blip>
          <a:srcRect/>
          <a:tile tx="0" ty="0" sx="100000" sy="100000" flip="none" algn="tl"/>
        </a:blipFill>
        <a:ln w="25400">
          <a:solidFill>
            <a:srgbClr val="C00000"/>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Prompt-19:</a:t>
          </a:r>
        </a:p>
        <a:p>
          <a:endParaRPr lang="en-IN" b="1">
            <a:solidFill>
              <a:schemeClr val="accent2">
                <a:lumMod val="50000"/>
              </a:schemeClr>
            </a:solidFill>
          </a:endParaRPr>
        </a:p>
        <a:p>
          <a:r>
            <a:rPr lang="en-US" b="1">
              <a:solidFill>
                <a:schemeClr val="accent2">
                  <a:lumMod val="50000"/>
                </a:schemeClr>
              </a:solidFill>
            </a:rPr>
            <a:t>Using the "Sales_Data" worksheet, create a sales dashboard with region-wise and product-wise charts.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186393</xdr:colOff>
      <xdr:row>13</xdr:row>
      <xdr:rowOff>53309</xdr:rowOff>
    </xdr:to>
    <xdr:sp macro="" textlink="">
      <xdr:nvSpPr>
        <xdr:cNvPr id="2" name="TextBox 3">
          <a:extLst>
            <a:ext uri="{FF2B5EF4-FFF2-40B4-BE49-F238E27FC236}">
              <a16:creationId xmlns:a16="http://schemas.microsoft.com/office/drawing/2014/main" id="{043C5E85-E377-41C1-A90C-6DEDD0E4F4DF}"/>
            </a:ext>
          </a:extLst>
        </xdr:cNvPr>
        <xdr:cNvSpPr txBox="1"/>
      </xdr:nvSpPr>
      <xdr:spPr>
        <a:xfrm>
          <a:off x="8115300" y="124968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Prompt-20:</a:t>
          </a:r>
        </a:p>
        <a:p>
          <a:endParaRPr lang="en-IN" b="1">
            <a:solidFill>
              <a:schemeClr val="accent2">
                <a:lumMod val="50000"/>
              </a:schemeClr>
            </a:solidFill>
          </a:endParaRPr>
        </a:p>
        <a:p>
          <a:r>
            <a:rPr lang="en-US" b="1">
              <a:solidFill>
                <a:schemeClr val="accent2">
                  <a:lumMod val="50000"/>
                </a:schemeClr>
              </a:solidFill>
            </a:rPr>
            <a:t>Generate a pivot table showing total sales by region and product from the "Sales_Data" worksheet. Do the necessary conditional formatting. Generate a downloadable .xlsx file as outcome. </a:t>
          </a:r>
          <a:endParaRPr lang="en-IN" b="1">
            <a:solidFill>
              <a:schemeClr val="accent2">
                <a:lumMod val="50000"/>
              </a:schemeClr>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10</xdr:col>
      <xdr:colOff>0</xdr:colOff>
      <xdr:row>13</xdr:row>
      <xdr:rowOff>0</xdr:rowOff>
    </xdr:from>
    <xdr:to>
      <xdr:col>15</xdr:col>
      <xdr:colOff>277833</xdr:colOff>
      <xdr:row>21</xdr:row>
      <xdr:rowOff>22829</xdr:rowOff>
    </xdr:to>
    <xdr:sp macro="" textlink="">
      <xdr:nvSpPr>
        <xdr:cNvPr id="2" name="TextBox 3">
          <a:extLst>
            <a:ext uri="{FF2B5EF4-FFF2-40B4-BE49-F238E27FC236}">
              <a16:creationId xmlns:a16="http://schemas.microsoft.com/office/drawing/2014/main" id="{155D8B36-7A53-4D68-870A-25C9672E7624}"/>
            </a:ext>
          </a:extLst>
        </xdr:cNvPr>
        <xdr:cNvSpPr txBox="1"/>
      </xdr:nvSpPr>
      <xdr:spPr>
        <a:xfrm>
          <a:off x="9121140" y="3489960"/>
          <a:ext cx="4346913" cy="2064989"/>
        </a:xfrm>
        <a:prstGeom prst="rect">
          <a:avLst/>
        </a:prstGeom>
        <a:blipFill dpi="0" rotWithShape="1">
          <a:blip xmlns:r="http://schemas.openxmlformats.org/officeDocument/2006/relationships" r:embed="rId1">
            <a:alphaModFix amt="62000"/>
          </a:blip>
          <a:srcRect/>
          <a:tile tx="0" ty="0" sx="100000" sy="100000" flip="none" algn="tl"/>
        </a:blipFill>
        <a:ln w="25400">
          <a:solidFill>
            <a:srgbClr val="C00000"/>
          </a:solidFill>
        </a:ln>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b="1">
              <a:solidFill>
                <a:schemeClr val="accent4">
                  <a:lumMod val="50000"/>
                </a:schemeClr>
              </a:solidFill>
            </a:rPr>
            <a:t>Prompt-21:</a:t>
          </a:r>
        </a:p>
        <a:p>
          <a:endParaRPr lang="en-IN" b="1">
            <a:solidFill>
              <a:schemeClr val="accent2">
                <a:lumMod val="50000"/>
              </a:schemeClr>
            </a:solidFill>
          </a:endParaRPr>
        </a:p>
        <a:p>
          <a:r>
            <a:rPr lang="en-US" b="1">
              <a:solidFill>
                <a:schemeClr val="accent2">
                  <a:lumMod val="50000"/>
                </a:schemeClr>
              </a:solidFill>
            </a:rPr>
            <a:t>Analyze the "Sales_Data" worksheet and identify the top performing product and region. Do the necessary conditional formatting. Generate a downloadable .xlsx file as outcome. </a:t>
          </a:r>
          <a:endParaRPr lang="en-IN" b="1">
            <a:solidFill>
              <a:schemeClr val="accent2">
                <a:lumMod val="50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rnab%20Docs\Claude%20Tutorial\Excel_Demo_with_Index.xlsx" TargetMode="External"/><Relationship Id="rId1" Type="http://schemas.openxmlformats.org/officeDocument/2006/relationships/externalLinkPath" Target="Excel_Demo_with_Ind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ormula"/>
      <sheetName val="Email_Data"/>
      <sheetName val="Raw_Messy_Data"/>
      <sheetName val="Payroll_Data"/>
      <sheetName val="Dept_Payroll_Summary"/>
      <sheetName val="Bank_Books"/>
      <sheetName val="Bank_Statement"/>
      <sheetName val="Expenses"/>
      <sheetName val="Inventory"/>
      <sheetName val="Client_Followup"/>
      <sheetName val="Budget_vs_Actual"/>
      <sheetName val="Sales_Data"/>
      <sheetName val="Prompts"/>
    </sheetNames>
    <sheetDataSet>
      <sheetData sheetId="0" refreshError="1"/>
      <sheetData sheetId="1" refreshError="1"/>
      <sheetData sheetId="2" refreshError="1"/>
      <sheetData sheetId="3" refreshError="1"/>
      <sheetData sheetId="4" refreshError="1"/>
      <sheetData sheetId="5">
        <row r="3">
          <cell r="F3" t="str">
            <v>Total Net Salary (₹)</v>
          </cell>
        </row>
        <row r="4">
          <cell r="A4" t="str">
            <v>Sales</v>
          </cell>
          <cell r="F4">
            <v>520590</v>
          </cell>
        </row>
        <row r="5">
          <cell r="A5" t="str">
            <v>HR</v>
          </cell>
          <cell r="F5">
            <v>401881</v>
          </cell>
        </row>
        <row r="6">
          <cell r="A6" t="str">
            <v>Marketing</v>
          </cell>
          <cell r="F6">
            <v>345634</v>
          </cell>
        </row>
        <row r="7">
          <cell r="A7" t="str">
            <v>Admin</v>
          </cell>
          <cell r="F7">
            <v>292772</v>
          </cell>
        </row>
        <row r="8">
          <cell r="A8" t="str">
            <v>Accounts</v>
          </cell>
          <cell r="F8">
            <v>244385</v>
          </cell>
        </row>
        <row r="9">
          <cell r="A9" t="str">
            <v>IT</v>
          </cell>
          <cell r="F9">
            <v>177764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A354393-AC3E-4204-9964-BD27429A22BB}">
  <we:reference id="wa200009404" version="1.0.0.8" store="en-US"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D970-FD89-44DA-B290-A1CDD17F45E2}">
  <sheetPr>
    <tabColor theme="3" tint="0.79998168889431442"/>
  </sheetPr>
  <dimension ref="B6:D62"/>
  <sheetViews>
    <sheetView tabSelected="1" workbookViewId="0"/>
  </sheetViews>
  <sheetFormatPr defaultRowHeight="14.4" x14ac:dyDescent="0.3"/>
  <cols>
    <col min="2" max="2" width="25.6640625" customWidth="1"/>
    <col min="4" max="4" width="45.88671875" customWidth="1"/>
  </cols>
  <sheetData>
    <row r="6" spans="2:4" ht="15.6" x14ac:dyDescent="0.3">
      <c r="B6" s="568" t="s">
        <v>1143</v>
      </c>
    </row>
    <row r="8" spans="2:4" ht="18" x14ac:dyDescent="0.3">
      <c r="B8" s="573" t="s">
        <v>1148</v>
      </c>
      <c r="C8" s="574"/>
      <c r="D8" s="574"/>
    </row>
    <row r="9" spans="2:4" ht="15.6" x14ac:dyDescent="0.3">
      <c r="B9" s="568" t="s">
        <v>1144</v>
      </c>
    </row>
    <row r="11" spans="2:4" ht="18" x14ac:dyDescent="0.3">
      <c r="B11" s="573" t="s">
        <v>1149</v>
      </c>
      <c r="C11" s="574"/>
      <c r="D11" s="574"/>
    </row>
    <row r="12" spans="2:4" ht="15.6" x14ac:dyDescent="0.3">
      <c r="B12" s="568" t="s">
        <v>1117</v>
      </c>
    </row>
    <row r="14" spans="2:4" ht="18" x14ac:dyDescent="0.3">
      <c r="B14" s="573" t="s">
        <v>1160</v>
      </c>
      <c r="C14" s="574"/>
      <c r="D14" s="574"/>
    </row>
    <row r="15" spans="2:4" ht="15.6" x14ac:dyDescent="0.3">
      <c r="B15" s="568" t="s">
        <v>1145</v>
      </c>
    </row>
    <row r="17" spans="2:4" ht="18" x14ac:dyDescent="0.3">
      <c r="B17" s="573" t="s">
        <v>1159</v>
      </c>
      <c r="C17" s="574"/>
      <c r="D17" s="574"/>
    </row>
    <row r="18" spans="2:4" ht="15.6" x14ac:dyDescent="0.3">
      <c r="B18" s="568" t="s">
        <v>1118</v>
      </c>
    </row>
    <row r="20" spans="2:4" ht="18" x14ac:dyDescent="0.3">
      <c r="B20" s="573" t="s">
        <v>1158</v>
      </c>
      <c r="C20" s="574"/>
      <c r="D20" s="574"/>
    </row>
    <row r="21" spans="2:4" ht="15.6" x14ac:dyDescent="0.3">
      <c r="B21" s="568" t="s">
        <v>1119</v>
      </c>
    </row>
    <row r="23" spans="2:4" ht="18" x14ac:dyDescent="0.3">
      <c r="B23" s="573" t="s">
        <v>1156</v>
      </c>
      <c r="C23" s="574"/>
      <c r="D23" s="574"/>
    </row>
    <row r="24" spans="2:4" ht="15.6" x14ac:dyDescent="0.3">
      <c r="B24" s="568" t="s">
        <v>1120</v>
      </c>
    </row>
    <row r="26" spans="2:4" ht="18" x14ac:dyDescent="0.3">
      <c r="B26" s="573" t="s">
        <v>1155</v>
      </c>
      <c r="C26" s="574"/>
      <c r="D26" s="574"/>
    </row>
    <row r="27" spans="2:4" ht="15.6" x14ac:dyDescent="0.3">
      <c r="B27" s="568" t="s">
        <v>1146</v>
      </c>
    </row>
    <row r="29" spans="2:4" ht="18" x14ac:dyDescent="0.3">
      <c r="B29" s="573" t="s">
        <v>1157</v>
      </c>
      <c r="C29" s="574"/>
      <c r="D29" s="574"/>
    </row>
    <row r="30" spans="2:4" ht="15.6" x14ac:dyDescent="0.3">
      <c r="B30" s="568" t="s">
        <v>1121</v>
      </c>
    </row>
    <row r="32" spans="2:4" ht="18" x14ac:dyDescent="0.3">
      <c r="B32" s="573" t="s">
        <v>1154</v>
      </c>
      <c r="C32" s="574"/>
      <c r="D32" s="574"/>
    </row>
    <row r="33" spans="2:4" ht="15.6" x14ac:dyDescent="0.3">
      <c r="B33" s="568" t="s">
        <v>1122</v>
      </c>
    </row>
    <row r="35" spans="2:4" ht="18" x14ac:dyDescent="0.3">
      <c r="B35" s="573" t="s">
        <v>1153</v>
      </c>
      <c r="C35" s="574"/>
      <c r="D35" s="574"/>
    </row>
    <row r="36" spans="2:4" ht="15.6" x14ac:dyDescent="0.3">
      <c r="B36" s="568" t="s">
        <v>1123</v>
      </c>
    </row>
    <row r="38" spans="2:4" ht="18" x14ac:dyDescent="0.3">
      <c r="B38" s="573" t="s">
        <v>1152</v>
      </c>
      <c r="C38" s="574"/>
      <c r="D38" s="574"/>
    </row>
    <row r="39" spans="2:4" ht="15.6" x14ac:dyDescent="0.3">
      <c r="B39" s="568" t="s">
        <v>1124</v>
      </c>
    </row>
    <row r="41" spans="2:4" ht="18" x14ac:dyDescent="0.3">
      <c r="B41" s="573" t="s">
        <v>1151</v>
      </c>
      <c r="C41" s="574"/>
      <c r="D41" s="574"/>
    </row>
    <row r="42" spans="2:4" ht="15.6" x14ac:dyDescent="0.3">
      <c r="B42" s="568" t="s">
        <v>1125</v>
      </c>
    </row>
    <row r="44" spans="2:4" ht="18" x14ac:dyDescent="0.3">
      <c r="B44" s="573" t="s">
        <v>1150</v>
      </c>
      <c r="C44" s="574"/>
      <c r="D44" s="574"/>
    </row>
    <row r="45" spans="2:4" ht="15.6" x14ac:dyDescent="0.3">
      <c r="B45" s="568" t="s">
        <v>1126</v>
      </c>
    </row>
    <row r="47" spans="2:4" ht="15.6" x14ac:dyDescent="0.3">
      <c r="B47" s="569" t="s">
        <v>1127</v>
      </c>
    </row>
    <row r="48" spans="2:4" ht="15.6" x14ac:dyDescent="0.3">
      <c r="B48" s="572" t="s">
        <v>1060</v>
      </c>
      <c r="C48" s="572" t="s">
        <v>480</v>
      </c>
      <c r="D48" s="572" t="s">
        <v>1128</v>
      </c>
    </row>
    <row r="49" spans="2:4" ht="15.6" x14ac:dyDescent="0.3">
      <c r="B49" s="571" t="s">
        <v>1129</v>
      </c>
      <c r="C49" s="571">
        <v>17</v>
      </c>
      <c r="D49" s="571" t="s">
        <v>1130</v>
      </c>
    </row>
    <row r="50" spans="2:4" ht="15.6" x14ac:dyDescent="0.3">
      <c r="B50" s="571" t="s">
        <v>80</v>
      </c>
      <c r="C50" s="571">
        <v>40</v>
      </c>
      <c r="D50" s="571" t="s">
        <v>1131</v>
      </c>
    </row>
    <row r="51" spans="2:4" ht="15.6" x14ac:dyDescent="0.3">
      <c r="B51" s="571" t="s">
        <v>88</v>
      </c>
      <c r="C51" s="571">
        <v>44</v>
      </c>
      <c r="D51" s="571" t="s">
        <v>1132</v>
      </c>
    </row>
    <row r="52" spans="2:4" ht="15.6" x14ac:dyDescent="0.3">
      <c r="B52" s="571" t="s">
        <v>82</v>
      </c>
      <c r="C52" s="571">
        <v>40</v>
      </c>
      <c r="D52" s="571" t="s">
        <v>1133</v>
      </c>
    </row>
    <row r="53" spans="2:4" ht="15.6" x14ac:dyDescent="0.3">
      <c r="B53" s="571" t="s">
        <v>83</v>
      </c>
      <c r="C53" s="571">
        <v>40</v>
      </c>
      <c r="D53" s="571" t="s">
        <v>1134</v>
      </c>
    </row>
    <row r="54" spans="2:4" ht="15.6" x14ac:dyDescent="0.3">
      <c r="B54" s="571" t="s">
        <v>84</v>
      </c>
      <c r="C54" s="571">
        <v>40</v>
      </c>
      <c r="D54" s="571" t="s">
        <v>1135</v>
      </c>
    </row>
    <row r="55" spans="2:4" ht="15.6" x14ac:dyDescent="0.3">
      <c r="B55" s="571" t="s">
        <v>85</v>
      </c>
      <c r="C55" s="571">
        <v>40</v>
      </c>
      <c r="D55" s="571" t="s">
        <v>1136</v>
      </c>
    </row>
    <row r="56" spans="2:4" ht="15.6" x14ac:dyDescent="0.3">
      <c r="B56" s="571" t="s">
        <v>86</v>
      </c>
      <c r="C56" s="571">
        <v>40</v>
      </c>
      <c r="D56" s="571" t="s">
        <v>1137</v>
      </c>
    </row>
    <row r="57" spans="2:4" ht="15.6" x14ac:dyDescent="0.3">
      <c r="B57" s="571" t="s">
        <v>87</v>
      </c>
      <c r="C57" s="571">
        <v>40</v>
      </c>
      <c r="D57" s="571" t="s">
        <v>1138</v>
      </c>
    </row>
    <row r="58" spans="2:4" ht="15.6" x14ac:dyDescent="0.3">
      <c r="B58" s="571" t="s">
        <v>89</v>
      </c>
      <c r="C58" s="571">
        <v>6</v>
      </c>
      <c r="D58" s="571" t="s">
        <v>1139</v>
      </c>
    </row>
    <row r="59" spans="2:4" ht="15.6" x14ac:dyDescent="0.3">
      <c r="B59" s="571" t="s">
        <v>81</v>
      </c>
      <c r="C59" s="571">
        <v>400</v>
      </c>
      <c r="D59" s="571" t="s">
        <v>1140</v>
      </c>
    </row>
    <row r="60" spans="2:4" ht="15.6" x14ac:dyDescent="0.3">
      <c r="B60" s="571" t="s">
        <v>1141</v>
      </c>
      <c r="C60" s="571">
        <v>34</v>
      </c>
      <c r="D60" s="571" t="s">
        <v>1142</v>
      </c>
    </row>
    <row r="61" spans="2:4" ht="15.6" x14ac:dyDescent="0.3">
      <c r="B61" s="570"/>
      <c r="C61" s="570"/>
      <c r="D61" s="570"/>
    </row>
    <row r="62" spans="2:4" ht="15.6" x14ac:dyDescent="0.3">
      <c r="B62" s="568" t="s">
        <v>1147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198E-3C75-40D8-995F-6824E9134EBF}">
  <sheetPr>
    <tabColor theme="5" tint="0.79998168889431442"/>
  </sheetPr>
  <dimension ref="A1:D16"/>
  <sheetViews>
    <sheetView workbookViewId="0">
      <pane ySplit="3" topLeftCell="A4" activePane="bottomLeft" state="frozen"/>
      <selection pane="bottomLeft" activeCell="A4" sqref="A4"/>
    </sheetView>
  </sheetViews>
  <sheetFormatPr defaultRowHeight="14.4" x14ac:dyDescent="0.3"/>
  <cols>
    <col min="1" max="1" width="6" customWidth="1"/>
    <col min="2" max="2" width="22" customWidth="1"/>
    <col min="3" max="3" width="58" customWidth="1"/>
    <col min="4" max="4" width="12" customWidth="1"/>
  </cols>
  <sheetData>
    <row r="1" spans="1:4" ht="36" customHeight="1" x14ac:dyDescent="0.3">
      <c r="A1" s="707" t="s">
        <v>1161</v>
      </c>
      <c r="B1" s="708"/>
      <c r="C1" s="708"/>
      <c r="D1" s="708"/>
    </row>
    <row r="2" spans="1:4" ht="19.95" customHeight="1" x14ac:dyDescent="0.3">
      <c r="A2" s="709" t="s">
        <v>1162</v>
      </c>
      <c r="B2" s="708"/>
      <c r="C2" s="708"/>
      <c r="D2" s="708"/>
    </row>
    <row r="3" spans="1:4" ht="22.05" customHeight="1" x14ac:dyDescent="0.3">
      <c r="A3" s="575" t="s">
        <v>479</v>
      </c>
      <c r="B3" s="575" t="s">
        <v>314</v>
      </c>
      <c r="C3" s="575" t="s">
        <v>134</v>
      </c>
      <c r="D3" s="575" t="s">
        <v>1163</v>
      </c>
    </row>
    <row r="4" spans="1:4" ht="28.05" customHeight="1" x14ac:dyDescent="0.3">
      <c r="A4" s="576">
        <v>1</v>
      </c>
      <c r="B4" s="577" t="s">
        <v>1129</v>
      </c>
      <c r="C4" s="578" t="s">
        <v>1164</v>
      </c>
      <c r="D4" s="579" t="s">
        <v>1165</v>
      </c>
    </row>
    <row r="5" spans="1:4" ht="28.05" customHeight="1" x14ac:dyDescent="0.3">
      <c r="A5" s="580">
        <v>2</v>
      </c>
      <c r="B5" s="581" t="s">
        <v>80</v>
      </c>
      <c r="C5" s="582" t="s">
        <v>1166</v>
      </c>
      <c r="D5" s="583" t="s">
        <v>1165</v>
      </c>
    </row>
    <row r="6" spans="1:4" ht="28.05" customHeight="1" x14ac:dyDescent="0.3">
      <c r="A6" s="576">
        <v>3</v>
      </c>
      <c r="B6" s="577" t="s">
        <v>88</v>
      </c>
      <c r="C6" s="578" t="s">
        <v>1167</v>
      </c>
      <c r="D6" s="579" t="s">
        <v>1165</v>
      </c>
    </row>
    <row r="7" spans="1:4" ht="28.05" customHeight="1" x14ac:dyDescent="0.3">
      <c r="A7" s="580">
        <v>4</v>
      </c>
      <c r="B7" s="581" t="s">
        <v>82</v>
      </c>
      <c r="C7" s="582" t="s">
        <v>1168</v>
      </c>
      <c r="D7" s="583" t="s">
        <v>1165</v>
      </c>
    </row>
    <row r="8" spans="1:4" ht="28.05" customHeight="1" x14ac:dyDescent="0.3">
      <c r="A8" s="576">
        <v>5</v>
      </c>
      <c r="B8" s="577" t="s">
        <v>83</v>
      </c>
      <c r="C8" s="578" t="s">
        <v>1169</v>
      </c>
      <c r="D8" s="579" t="s">
        <v>1165</v>
      </c>
    </row>
    <row r="9" spans="1:4" ht="28.05" customHeight="1" x14ac:dyDescent="0.3">
      <c r="A9" s="580">
        <v>6</v>
      </c>
      <c r="B9" s="581" t="s">
        <v>84</v>
      </c>
      <c r="C9" s="582" t="s">
        <v>1170</v>
      </c>
      <c r="D9" s="583" t="s">
        <v>1165</v>
      </c>
    </row>
    <row r="10" spans="1:4" ht="28.05" customHeight="1" x14ac:dyDescent="0.3">
      <c r="A10" s="576">
        <v>7</v>
      </c>
      <c r="B10" s="577" t="s">
        <v>85</v>
      </c>
      <c r="C10" s="578" t="s">
        <v>1171</v>
      </c>
      <c r="D10" s="579" t="s">
        <v>1165</v>
      </c>
    </row>
    <row r="11" spans="1:4" ht="28.05" customHeight="1" x14ac:dyDescent="0.3">
      <c r="A11" s="580">
        <v>8</v>
      </c>
      <c r="B11" s="581" t="s">
        <v>86</v>
      </c>
      <c r="C11" s="582" t="s">
        <v>1172</v>
      </c>
      <c r="D11" s="583" t="s">
        <v>1165</v>
      </c>
    </row>
    <row r="12" spans="1:4" ht="28.05" customHeight="1" x14ac:dyDescent="0.3">
      <c r="A12" s="576">
        <v>9</v>
      </c>
      <c r="B12" s="577" t="s">
        <v>87</v>
      </c>
      <c r="C12" s="578" t="s">
        <v>1173</v>
      </c>
      <c r="D12" s="579" t="s">
        <v>1165</v>
      </c>
    </row>
    <row r="13" spans="1:4" ht="28.05" customHeight="1" x14ac:dyDescent="0.3">
      <c r="A13" s="580">
        <v>10</v>
      </c>
      <c r="B13" s="581" t="s">
        <v>89</v>
      </c>
      <c r="C13" s="582" t="s">
        <v>1174</v>
      </c>
      <c r="D13" s="583" t="s">
        <v>1165</v>
      </c>
    </row>
    <row r="14" spans="1:4" ht="28.05" customHeight="1" x14ac:dyDescent="0.3">
      <c r="A14" s="576">
        <v>11</v>
      </c>
      <c r="B14" s="577" t="s">
        <v>81</v>
      </c>
      <c r="C14" s="578" t="s">
        <v>1175</v>
      </c>
      <c r="D14" s="579" t="s">
        <v>1165</v>
      </c>
    </row>
    <row r="15" spans="1:4" ht="28.05" customHeight="1" x14ac:dyDescent="0.3">
      <c r="A15" s="580">
        <v>12</v>
      </c>
      <c r="B15" s="581" t="s">
        <v>1141</v>
      </c>
      <c r="C15" s="582" t="s">
        <v>1176</v>
      </c>
      <c r="D15" s="583" t="s">
        <v>1165</v>
      </c>
    </row>
    <row r="16" spans="1:4" ht="18" customHeight="1" x14ac:dyDescent="0.3">
      <c r="A16" s="710" t="s">
        <v>1177</v>
      </c>
      <c r="B16" s="708"/>
      <c r="C16" s="708"/>
      <c r="D16" s="708"/>
    </row>
  </sheetData>
  <mergeCells count="3">
    <mergeCell ref="A1:D1"/>
    <mergeCell ref="A2:D2"/>
    <mergeCell ref="A16:D16"/>
  </mergeCells>
  <hyperlinks>
    <hyperlink ref="B4" location="Formula!A1" display="Formula" xr:uid="{80C30AAF-D2CE-4C7C-BABD-0AF4D017DBF9}"/>
    <hyperlink ref="D4" location="Formula!A1" display="→ Open" xr:uid="{D9DE2564-1806-4372-AE4B-C2492472B30D}"/>
    <hyperlink ref="B5" location="Email_Data!A1" display="Email_Data" xr:uid="{AEE498A8-8287-4AF7-95E1-333D1E0DF523}"/>
    <hyperlink ref="D5" location="Email_Data!A1" display="→ Open" xr:uid="{E133D643-0806-4C27-99D6-A02B8726A1CD}"/>
    <hyperlink ref="B6" location="Raw_Messy_Data!A1" display="Raw_Messy_Data" xr:uid="{CA4A429D-2057-4504-9326-1E42C84EFA87}"/>
    <hyperlink ref="D6" location="Raw_Messy_Data!A1" display="→ Open" xr:uid="{A840738A-5963-4F4B-9332-02DB5A1A079B}"/>
    <hyperlink ref="B7" location="Payroll_Data!A1" display="Payroll_Data" xr:uid="{E968158F-6E66-4836-BE6A-048D5528331F}"/>
    <hyperlink ref="D7" location="Payroll_Data!A1" display="→ Open" xr:uid="{B6374749-09AD-4A0A-A2B1-A0CF3A8F21BF}"/>
    <hyperlink ref="B8" location="Bank_Books!A1" display="Bank_Books" xr:uid="{F543F8D6-168A-416F-8EBD-794F5C69CBA6}"/>
    <hyperlink ref="D8" location="Bank_Books!A1" display="→ Open" xr:uid="{99C7F0AC-6B4F-4908-BE2A-DEB38DCF900B}"/>
    <hyperlink ref="B9" location="Bank_Statement!A1" display="Bank_Statement" xr:uid="{D874F39E-BDEC-4529-ADF8-A00570BF9474}"/>
    <hyperlink ref="D9" location="Bank_Statement!A1" display="→ Open" xr:uid="{193C0E67-DEAD-4D40-8B48-AA0DCA36AA00}"/>
    <hyperlink ref="B10" location="Expenses!A1" display="Expenses" xr:uid="{5886C3DD-2ECB-44E6-98F6-E424F1BC558E}"/>
    <hyperlink ref="D10" location="Expenses!A1" display="→ Open" xr:uid="{8606964E-DFC9-4D95-81FB-78B76DB91C18}"/>
    <hyperlink ref="B11" location="Inventory!A1" display="Inventory" xr:uid="{EF61C78E-F5D9-4BB9-B678-775FB4ABD679}"/>
    <hyperlink ref="D11" location="Inventory!A1" display="→ Open" xr:uid="{340A1BF2-F331-44EB-B3D0-A11FFDF9790A}"/>
    <hyperlink ref="B12" location="Client_Followup!A1" display="Client_Followup" xr:uid="{CDC17550-7B9C-4E42-8484-36457363B278}"/>
    <hyperlink ref="D12" location="Client_Followup!A1" display="→ Open" xr:uid="{449C25F2-CB0A-4AB9-B7B2-997AC3AEFBA9}"/>
    <hyperlink ref="B13" location="Budget_vs_Actual!A1" display="Budget_vs_Actual" xr:uid="{057F7B8B-9CF5-4603-B056-0129D27B6862}"/>
    <hyperlink ref="D13" location="Budget_vs_Actual!A1" display="→ Open" xr:uid="{E4A08D09-8D56-4AEC-96A0-431627829785}"/>
    <hyperlink ref="B14" location="Sales_Data!A1" display="Sales_Data" xr:uid="{5FAA9782-B798-442F-A420-EFB9A1E58C67}"/>
    <hyperlink ref="D14" location="Sales_Data!A1" display="→ Open" xr:uid="{C9614229-BF43-4F0C-8DBB-C8CBDBC5F355}"/>
    <hyperlink ref="B15" location="Prompts!A1" display="Prompts" xr:uid="{1A447C15-50B1-4669-A3D3-1945F3210980}"/>
    <hyperlink ref="D15" location="Prompts!A1" display="→ Open" xr:uid="{7F0CA48A-7EE8-453F-98CC-5647FFBCF7D8}"/>
  </hyperlink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7943-B55D-4FA5-BC72-9786FBF8C2B3}">
  <sheetPr>
    <tabColor theme="4" tint="0.79998168889431442"/>
  </sheetPr>
  <dimension ref="A1:M17"/>
  <sheetViews>
    <sheetView zoomScale="140" zoomScaleNormal="140" workbookViewId="0"/>
  </sheetViews>
  <sheetFormatPr defaultRowHeight="14.4" x14ac:dyDescent="0.3"/>
  <cols>
    <col min="1" max="1" width="9.6640625" bestFit="1" customWidth="1"/>
    <col min="2" max="2" width="15.44140625" customWidth="1"/>
    <col min="3" max="3" width="19.21875" bestFit="1" customWidth="1"/>
    <col min="4" max="4" width="11.109375" bestFit="1" customWidth="1"/>
    <col min="5" max="5" width="9.88671875" bestFit="1" customWidth="1"/>
    <col min="6" max="6" width="9" bestFit="1" customWidth="1"/>
    <col min="7" max="7" width="8" bestFit="1" customWidth="1"/>
    <col min="8" max="9" width="6.5546875" customWidth="1"/>
    <col min="10" max="10" width="9.6640625" bestFit="1" customWidth="1"/>
    <col min="11" max="11" width="15" customWidth="1"/>
    <col min="12" max="12" width="9.33203125" customWidth="1"/>
    <col min="13" max="13" width="9.5546875" customWidth="1"/>
  </cols>
  <sheetData>
    <row r="1" spans="1:13" x14ac:dyDescent="0.3">
      <c r="A1" s="566" t="s">
        <v>1061</v>
      </c>
      <c r="B1" s="566" t="s">
        <v>1062</v>
      </c>
      <c r="C1" s="566" t="s">
        <v>2</v>
      </c>
      <c r="D1" s="566" t="s">
        <v>92</v>
      </c>
      <c r="E1" s="566" t="s">
        <v>142</v>
      </c>
      <c r="F1" s="566" t="s">
        <v>1063</v>
      </c>
      <c r="G1" s="566" t="s">
        <v>1064</v>
      </c>
      <c r="J1" s="566" t="s">
        <v>1061</v>
      </c>
      <c r="K1" s="566" t="s">
        <v>1062</v>
      </c>
      <c r="L1" s="566" t="s">
        <v>1064</v>
      </c>
      <c r="M1" s="566" t="s">
        <v>1063</v>
      </c>
    </row>
    <row r="2" spans="1:13" x14ac:dyDescent="0.3">
      <c r="A2" s="567" t="s">
        <v>1065</v>
      </c>
      <c r="B2" s="567" t="s">
        <v>1066</v>
      </c>
      <c r="C2" s="567" t="s">
        <v>1067</v>
      </c>
      <c r="D2" s="567" t="s">
        <v>1068</v>
      </c>
      <c r="E2" s="567" t="s">
        <v>1069</v>
      </c>
      <c r="F2" s="567">
        <v>78572.14</v>
      </c>
      <c r="G2" s="567">
        <v>4</v>
      </c>
      <c r="J2" s="567" t="s">
        <v>1065</v>
      </c>
      <c r="K2" s="567"/>
      <c r="L2" s="567"/>
      <c r="M2" s="567"/>
    </row>
    <row r="3" spans="1:13" x14ac:dyDescent="0.3">
      <c r="A3" s="567" t="s">
        <v>1070</v>
      </c>
      <c r="B3" s="567" t="s">
        <v>1071</v>
      </c>
      <c r="C3" s="567" t="s">
        <v>1072</v>
      </c>
      <c r="D3" s="567" t="s">
        <v>1073</v>
      </c>
      <c r="E3" s="567" t="s">
        <v>1074</v>
      </c>
      <c r="F3" s="567">
        <v>43393.19</v>
      </c>
      <c r="G3" s="567">
        <v>3</v>
      </c>
      <c r="J3" s="567" t="s">
        <v>1075</v>
      </c>
      <c r="K3" s="567"/>
      <c r="L3" s="567"/>
      <c r="M3" s="567"/>
    </row>
    <row r="4" spans="1:13" x14ac:dyDescent="0.3">
      <c r="A4" s="567" t="s">
        <v>1075</v>
      </c>
      <c r="B4" s="567" t="s">
        <v>125</v>
      </c>
      <c r="C4" s="567" t="s">
        <v>1076</v>
      </c>
      <c r="D4" s="567" t="s">
        <v>1077</v>
      </c>
      <c r="E4" s="567" t="s">
        <v>1074</v>
      </c>
      <c r="F4" s="567">
        <v>38208.78</v>
      </c>
      <c r="G4" s="567">
        <v>2</v>
      </c>
      <c r="J4" s="567" t="s">
        <v>1078</v>
      </c>
      <c r="K4" s="567"/>
      <c r="L4" s="567"/>
      <c r="M4" s="567"/>
    </row>
    <row r="5" spans="1:13" x14ac:dyDescent="0.3">
      <c r="A5" s="567" t="s">
        <v>1079</v>
      </c>
      <c r="B5" s="567" t="s">
        <v>18</v>
      </c>
      <c r="C5" s="567" t="s">
        <v>1080</v>
      </c>
      <c r="D5" s="567" t="s">
        <v>1077</v>
      </c>
      <c r="E5" s="567" t="s">
        <v>1074</v>
      </c>
      <c r="F5" s="567">
        <v>44514.23</v>
      </c>
      <c r="G5" s="567">
        <v>5</v>
      </c>
      <c r="J5" s="567" t="s">
        <v>1081</v>
      </c>
      <c r="K5" s="567"/>
      <c r="L5" s="567"/>
      <c r="M5" s="567"/>
    </row>
    <row r="6" spans="1:13" x14ac:dyDescent="0.3">
      <c r="A6" s="567" t="s">
        <v>1078</v>
      </c>
      <c r="B6" s="567" t="s">
        <v>256</v>
      </c>
      <c r="C6" s="567" t="s">
        <v>1082</v>
      </c>
      <c r="D6" s="567" t="s">
        <v>1083</v>
      </c>
      <c r="E6" s="567" t="s">
        <v>1074</v>
      </c>
      <c r="F6" s="567">
        <v>73256.56</v>
      </c>
      <c r="G6" s="567">
        <v>3</v>
      </c>
      <c r="J6" s="567" t="s">
        <v>1084</v>
      </c>
      <c r="K6" s="567"/>
      <c r="L6" s="567"/>
      <c r="M6" s="567"/>
    </row>
    <row r="7" spans="1:13" x14ac:dyDescent="0.3">
      <c r="A7" s="567" t="s">
        <v>1085</v>
      </c>
      <c r="B7" s="567" t="s">
        <v>1086</v>
      </c>
      <c r="C7" s="567" t="s">
        <v>1087</v>
      </c>
      <c r="D7" s="567" t="s">
        <v>1088</v>
      </c>
      <c r="E7" s="567" t="s">
        <v>1069</v>
      </c>
      <c r="F7" s="567">
        <v>67063.78</v>
      </c>
      <c r="G7" s="567">
        <v>3</v>
      </c>
      <c r="J7" s="567" t="s">
        <v>1089</v>
      </c>
      <c r="K7" s="567"/>
      <c r="L7" s="567"/>
      <c r="M7" s="567"/>
    </row>
    <row r="8" spans="1:13" x14ac:dyDescent="0.3">
      <c r="A8" s="567" t="s">
        <v>1081</v>
      </c>
      <c r="B8" s="567" t="s">
        <v>1090</v>
      </c>
      <c r="C8" s="567" t="s">
        <v>1091</v>
      </c>
      <c r="D8" s="567" t="s">
        <v>1092</v>
      </c>
      <c r="E8" s="567" t="s">
        <v>1074</v>
      </c>
      <c r="F8" s="567">
        <v>64501.86</v>
      </c>
      <c r="G8" s="567">
        <v>1</v>
      </c>
      <c r="J8" s="567" t="s">
        <v>1093</v>
      </c>
      <c r="K8" s="567"/>
      <c r="L8" s="567"/>
      <c r="M8" s="567"/>
    </row>
    <row r="9" spans="1:13" x14ac:dyDescent="0.3">
      <c r="A9" s="567" t="s">
        <v>1094</v>
      </c>
      <c r="B9" s="567" t="s">
        <v>1071</v>
      </c>
      <c r="C9" s="567" t="s">
        <v>1095</v>
      </c>
      <c r="D9" s="567" t="s">
        <v>1092</v>
      </c>
      <c r="E9" s="567" t="s">
        <v>1096</v>
      </c>
      <c r="F9" s="567">
        <v>61418.64</v>
      </c>
      <c r="G9" s="567">
        <v>1</v>
      </c>
      <c r="J9" s="567" t="s">
        <v>1097</v>
      </c>
      <c r="K9" s="567"/>
      <c r="L9" s="567"/>
      <c r="M9" s="567"/>
    </row>
    <row r="10" spans="1:13" x14ac:dyDescent="0.3">
      <c r="A10" s="567" t="s">
        <v>1098</v>
      </c>
      <c r="B10" s="567" t="s">
        <v>76</v>
      </c>
      <c r="C10" s="567" t="s">
        <v>1099</v>
      </c>
      <c r="D10" s="567" t="s">
        <v>1083</v>
      </c>
      <c r="E10" s="567" t="s">
        <v>1096</v>
      </c>
      <c r="F10" s="567">
        <v>5379.97</v>
      </c>
      <c r="G10" s="567">
        <v>2</v>
      </c>
      <c r="J10" s="567" t="s">
        <v>1100</v>
      </c>
      <c r="K10" s="567"/>
      <c r="L10" s="567"/>
      <c r="M10" s="567"/>
    </row>
    <row r="11" spans="1:13" x14ac:dyDescent="0.3">
      <c r="A11" s="567" t="s">
        <v>1089</v>
      </c>
      <c r="B11" s="567" t="s">
        <v>1101</v>
      </c>
      <c r="C11" s="567" t="s">
        <v>1102</v>
      </c>
      <c r="D11" s="567" t="s">
        <v>1068</v>
      </c>
      <c r="E11" s="567" t="s">
        <v>1074</v>
      </c>
      <c r="F11" s="567">
        <v>69761.100000000006</v>
      </c>
      <c r="G11" s="567">
        <v>1</v>
      </c>
    </row>
    <row r="12" spans="1:13" x14ac:dyDescent="0.3">
      <c r="A12" s="567" t="s">
        <v>1093</v>
      </c>
      <c r="B12" s="567" t="s">
        <v>10</v>
      </c>
      <c r="C12" s="567" t="s">
        <v>1103</v>
      </c>
      <c r="D12" s="567" t="s">
        <v>1088</v>
      </c>
      <c r="E12" s="567" t="s">
        <v>1074</v>
      </c>
      <c r="F12" s="567">
        <v>31399.599999999999</v>
      </c>
      <c r="G12" s="567">
        <v>5</v>
      </c>
    </row>
    <row r="13" spans="1:13" x14ac:dyDescent="0.3">
      <c r="A13" s="567" t="s">
        <v>1104</v>
      </c>
      <c r="B13" s="567" t="s">
        <v>1105</v>
      </c>
      <c r="C13" s="567" t="s">
        <v>1106</v>
      </c>
      <c r="D13" s="567" t="s">
        <v>1073</v>
      </c>
      <c r="E13" s="567" t="s">
        <v>1069</v>
      </c>
      <c r="F13" s="567">
        <v>18167.939999999999</v>
      </c>
      <c r="G13" s="567">
        <v>2</v>
      </c>
    </row>
    <row r="14" spans="1:13" x14ac:dyDescent="0.3">
      <c r="A14" s="567" t="s">
        <v>1097</v>
      </c>
      <c r="B14" s="567" t="s">
        <v>1107</v>
      </c>
      <c r="C14" s="567" t="s">
        <v>1108</v>
      </c>
      <c r="D14" s="567" t="s">
        <v>1109</v>
      </c>
      <c r="E14" s="567" t="s">
        <v>1074</v>
      </c>
      <c r="F14" s="567">
        <v>32961.199999999997</v>
      </c>
      <c r="G14" s="567">
        <v>2</v>
      </c>
    </row>
    <row r="15" spans="1:13" x14ac:dyDescent="0.3">
      <c r="A15" s="567" t="s">
        <v>1110</v>
      </c>
      <c r="B15" s="567" t="s">
        <v>1111</v>
      </c>
      <c r="C15" s="567" t="s">
        <v>1112</v>
      </c>
      <c r="D15" s="567" t="s">
        <v>1109</v>
      </c>
      <c r="E15" s="567" t="s">
        <v>1096</v>
      </c>
      <c r="F15" s="567">
        <v>46556.77</v>
      </c>
      <c r="G15" s="567">
        <v>4</v>
      </c>
    </row>
    <row r="16" spans="1:13" x14ac:dyDescent="0.3">
      <c r="A16" s="567" t="s">
        <v>1100</v>
      </c>
      <c r="B16" s="567" t="s">
        <v>1113</v>
      </c>
      <c r="C16" s="567" t="s">
        <v>1114</v>
      </c>
      <c r="D16" s="567" t="s">
        <v>1077</v>
      </c>
      <c r="E16" s="567" t="s">
        <v>1074</v>
      </c>
      <c r="F16" s="567">
        <v>32137.43</v>
      </c>
      <c r="G16" s="567">
        <v>4</v>
      </c>
    </row>
    <row r="17" spans="1:7" x14ac:dyDescent="0.3">
      <c r="A17" s="567" t="s">
        <v>1115</v>
      </c>
      <c r="B17" s="567" t="s">
        <v>118</v>
      </c>
      <c r="C17" s="567" t="s">
        <v>1116</v>
      </c>
      <c r="D17" s="567" t="s">
        <v>1083</v>
      </c>
      <c r="E17" s="567" t="s">
        <v>1074</v>
      </c>
      <c r="F17" s="567">
        <v>10041.370000000001</v>
      </c>
      <c r="G17" s="56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39E1-CC9F-48EA-B519-BC4C655E697C}">
  <sheetPr>
    <tabColor theme="4" tint="0.79998168889431442"/>
  </sheetPr>
  <dimension ref="A1:O17"/>
  <sheetViews>
    <sheetView zoomScale="120" zoomScaleNormal="120" workbookViewId="0"/>
  </sheetViews>
  <sheetFormatPr defaultRowHeight="14.4" x14ac:dyDescent="0.3"/>
  <cols>
    <col min="1" max="1" width="9.6640625" bestFit="1" customWidth="1"/>
    <col min="2" max="2" width="15.44140625" customWidth="1"/>
    <col min="3" max="3" width="19.21875" bestFit="1" customWidth="1"/>
    <col min="4" max="4" width="11.109375" bestFit="1" customWidth="1"/>
    <col min="5" max="5" width="9.88671875" bestFit="1" customWidth="1"/>
    <col min="6" max="6" width="9" bestFit="1" customWidth="1"/>
    <col min="7" max="7" width="8" bestFit="1" customWidth="1"/>
    <col min="8" max="9" width="3.109375" customWidth="1"/>
    <col min="10" max="10" width="9.6640625" bestFit="1" customWidth="1"/>
    <col min="11" max="11" width="20" customWidth="1"/>
    <col min="12" max="12" width="12" customWidth="1"/>
    <col min="13" max="13" width="14" customWidth="1"/>
    <col min="15" max="15" width="18" customWidth="1"/>
  </cols>
  <sheetData>
    <row r="1" spans="1:15" x14ac:dyDescent="0.3">
      <c r="A1" s="566" t="s">
        <v>1061</v>
      </c>
      <c r="B1" s="566" t="s">
        <v>1062</v>
      </c>
      <c r="C1" s="566" t="s">
        <v>2</v>
      </c>
      <c r="D1" s="566" t="s">
        <v>92</v>
      </c>
      <c r="E1" s="566" t="s">
        <v>142</v>
      </c>
      <c r="F1" s="566" t="s">
        <v>1063</v>
      </c>
      <c r="G1" s="566" t="s">
        <v>1064</v>
      </c>
      <c r="J1" s="566" t="s">
        <v>1061</v>
      </c>
      <c r="K1" s="587" t="s">
        <v>1062</v>
      </c>
      <c r="L1" s="587" t="s">
        <v>1064</v>
      </c>
      <c r="M1" s="587" t="s">
        <v>1063</v>
      </c>
      <c r="O1" s="586" t="s">
        <v>1178</v>
      </c>
    </row>
    <row r="2" spans="1:15" x14ac:dyDescent="0.3">
      <c r="A2" s="567" t="s">
        <v>1065</v>
      </c>
      <c r="B2" s="567" t="s">
        <v>1066</v>
      </c>
      <c r="C2" s="567" t="s">
        <v>1067</v>
      </c>
      <c r="D2" s="567" t="s">
        <v>1068</v>
      </c>
      <c r="E2" s="567" t="s">
        <v>1069</v>
      </c>
      <c r="F2" s="567">
        <v>78572.14</v>
      </c>
      <c r="G2" s="567">
        <v>4</v>
      </c>
      <c r="J2" s="567" t="s">
        <v>1065</v>
      </c>
      <c r="K2" s="585" t="str">
        <f t="shared" ref="K2:K10" si="0">IFERROR(_xlfn.XLOOKUP(J2,$A$2:$A$17,$B$2:$B$17),"Not Found")</f>
        <v>Pooja Bansal</v>
      </c>
      <c r="L2" s="585">
        <f t="shared" ref="L2:L10" si="1">IFERROR(_xlfn.XLOOKUP(J2,$A$2:$A$17,$G$2:$G$17),"Not Found")</f>
        <v>4</v>
      </c>
      <c r="M2" s="584">
        <f t="shared" ref="M2:M10" si="2">IFERROR(_xlfn.XLOOKUP(J2,$A$2:$A$17,$F$2:$F$17),"Not Found")</f>
        <v>78572.14</v>
      </c>
    </row>
    <row r="3" spans="1:15" x14ac:dyDescent="0.3">
      <c r="A3" s="567" t="s">
        <v>1070</v>
      </c>
      <c r="B3" s="567" t="s">
        <v>1071</v>
      </c>
      <c r="C3" s="567" t="s">
        <v>1072</v>
      </c>
      <c r="D3" s="567" t="s">
        <v>1073</v>
      </c>
      <c r="E3" s="567" t="s">
        <v>1074</v>
      </c>
      <c r="F3" s="567">
        <v>43393.19</v>
      </c>
      <c r="G3" s="567">
        <v>3</v>
      </c>
      <c r="J3" s="567" t="s">
        <v>1075</v>
      </c>
      <c r="K3" s="585" t="str">
        <f t="shared" si="0"/>
        <v>Arjun Singh</v>
      </c>
      <c r="L3" s="585">
        <f t="shared" si="1"/>
        <v>2</v>
      </c>
      <c r="M3" s="584">
        <f t="shared" si="2"/>
        <v>38208.78</v>
      </c>
    </row>
    <row r="4" spans="1:15" x14ac:dyDescent="0.3">
      <c r="A4" s="567" t="s">
        <v>1075</v>
      </c>
      <c r="B4" s="567" t="s">
        <v>125</v>
      </c>
      <c r="C4" s="567" t="s">
        <v>1076</v>
      </c>
      <c r="D4" s="567" t="s">
        <v>1077</v>
      </c>
      <c r="E4" s="567" t="s">
        <v>1074</v>
      </c>
      <c r="F4" s="567">
        <v>38208.78</v>
      </c>
      <c r="G4" s="567">
        <v>2</v>
      </c>
      <c r="J4" s="567" t="s">
        <v>1078</v>
      </c>
      <c r="K4" s="585" t="str">
        <f t="shared" si="0"/>
        <v>Neha Gupta</v>
      </c>
      <c r="L4" s="585">
        <f t="shared" si="1"/>
        <v>3</v>
      </c>
      <c r="M4" s="584">
        <f t="shared" si="2"/>
        <v>73256.56</v>
      </c>
    </row>
    <row r="5" spans="1:15" x14ac:dyDescent="0.3">
      <c r="A5" s="567" t="s">
        <v>1079</v>
      </c>
      <c r="B5" s="567" t="s">
        <v>18</v>
      </c>
      <c r="C5" s="567" t="s">
        <v>1080</v>
      </c>
      <c r="D5" s="567" t="s">
        <v>1077</v>
      </c>
      <c r="E5" s="567" t="s">
        <v>1074</v>
      </c>
      <c r="F5" s="567">
        <v>44514.23</v>
      </c>
      <c r="G5" s="567">
        <v>5</v>
      </c>
      <c r="J5" s="567" t="s">
        <v>1081</v>
      </c>
      <c r="K5" s="585" t="str">
        <f t="shared" si="0"/>
        <v>Rohit Arora</v>
      </c>
      <c r="L5" s="585">
        <f t="shared" si="1"/>
        <v>1</v>
      </c>
      <c r="M5" s="584">
        <f t="shared" si="2"/>
        <v>64501.86</v>
      </c>
    </row>
    <row r="6" spans="1:15" x14ac:dyDescent="0.3">
      <c r="A6" s="567" t="s">
        <v>1078</v>
      </c>
      <c r="B6" s="567" t="s">
        <v>256</v>
      </c>
      <c r="C6" s="567" t="s">
        <v>1082</v>
      </c>
      <c r="D6" s="567" t="s">
        <v>1083</v>
      </c>
      <c r="E6" s="567" t="s">
        <v>1074</v>
      </c>
      <c r="F6" s="567">
        <v>73256.56</v>
      </c>
      <c r="G6" s="567">
        <v>3</v>
      </c>
      <c r="J6" s="567" t="s">
        <v>1084</v>
      </c>
      <c r="K6" s="585" t="str">
        <f t="shared" si="0"/>
        <v>Not Found</v>
      </c>
      <c r="L6" s="585" t="str">
        <f t="shared" si="1"/>
        <v>Not Found</v>
      </c>
      <c r="M6" s="584" t="str">
        <f t="shared" si="2"/>
        <v>Not Found</v>
      </c>
    </row>
    <row r="7" spans="1:15" x14ac:dyDescent="0.3">
      <c r="A7" s="567" t="s">
        <v>1085</v>
      </c>
      <c r="B7" s="567" t="s">
        <v>1086</v>
      </c>
      <c r="C7" s="567" t="s">
        <v>1087</v>
      </c>
      <c r="D7" s="567" t="s">
        <v>1088</v>
      </c>
      <c r="E7" s="567" t="s">
        <v>1069</v>
      </c>
      <c r="F7" s="567">
        <v>67063.78</v>
      </c>
      <c r="G7" s="567">
        <v>3</v>
      </c>
      <c r="J7" s="567" t="s">
        <v>1089</v>
      </c>
      <c r="K7" s="585" t="str">
        <f t="shared" si="0"/>
        <v>Neha Kapoor</v>
      </c>
      <c r="L7" s="585">
        <f t="shared" si="1"/>
        <v>1</v>
      </c>
      <c r="M7" s="584">
        <f t="shared" si="2"/>
        <v>69761.100000000006</v>
      </c>
    </row>
    <row r="8" spans="1:15" x14ac:dyDescent="0.3">
      <c r="A8" s="567" t="s">
        <v>1081</v>
      </c>
      <c r="B8" s="567" t="s">
        <v>1090</v>
      </c>
      <c r="C8" s="567" t="s">
        <v>1091</v>
      </c>
      <c r="D8" s="567" t="s">
        <v>1092</v>
      </c>
      <c r="E8" s="567" t="s">
        <v>1074</v>
      </c>
      <c r="F8" s="567">
        <v>64501.86</v>
      </c>
      <c r="G8" s="567">
        <v>1</v>
      </c>
      <c r="J8" s="567" t="s">
        <v>1093</v>
      </c>
      <c r="K8" s="585" t="str">
        <f t="shared" si="0"/>
        <v>Arjun Sharma</v>
      </c>
      <c r="L8" s="585">
        <f t="shared" si="1"/>
        <v>5</v>
      </c>
      <c r="M8" s="584">
        <f t="shared" si="2"/>
        <v>31399.599999999999</v>
      </c>
    </row>
    <row r="9" spans="1:15" x14ac:dyDescent="0.3">
      <c r="A9" s="567" t="s">
        <v>1094</v>
      </c>
      <c r="B9" s="567" t="s">
        <v>1071</v>
      </c>
      <c r="C9" s="567" t="s">
        <v>1095</v>
      </c>
      <c r="D9" s="567" t="s">
        <v>1092</v>
      </c>
      <c r="E9" s="567" t="s">
        <v>1096</v>
      </c>
      <c r="F9" s="567">
        <v>61418.64</v>
      </c>
      <c r="G9" s="567">
        <v>1</v>
      </c>
      <c r="J9" s="567" t="s">
        <v>1097</v>
      </c>
      <c r="K9" s="585" t="str">
        <f t="shared" si="0"/>
        <v>Anjali Mehta</v>
      </c>
      <c r="L9" s="585">
        <f t="shared" si="1"/>
        <v>2</v>
      </c>
      <c r="M9" s="584">
        <f t="shared" si="2"/>
        <v>32961.199999999997</v>
      </c>
    </row>
    <row r="10" spans="1:15" x14ac:dyDescent="0.3">
      <c r="A10" s="567" t="s">
        <v>1098</v>
      </c>
      <c r="B10" s="567" t="s">
        <v>76</v>
      </c>
      <c r="C10" s="567" t="s">
        <v>1099</v>
      </c>
      <c r="D10" s="567" t="s">
        <v>1083</v>
      </c>
      <c r="E10" s="567" t="s">
        <v>1096</v>
      </c>
      <c r="F10" s="567">
        <v>5379.97</v>
      </c>
      <c r="G10" s="567">
        <v>2</v>
      </c>
      <c r="J10" s="567" t="s">
        <v>1100</v>
      </c>
      <c r="K10" s="585" t="str">
        <f t="shared" si="0"/>
        <v>Anjali Jain</v>
      </c>
      <c r="L10" s="585">
        <f t="shared" si="1"/>
        <v>4</v>
      </c>
      <c r="M10" s="584">
        <f t="shared" si="2"/>
        <v>32137.43</v>
      </c>
    </row>
    <row r="11" spans="1:15" x14ac:dyDescent="0.3">
      <c r="A11" s="567" t="s">
        <v>1089</v>
      </c>
      <c r="B11" s="567" t="s">
        <v>1101</v>
      </c>
      <c r="C11" s="567" t="s">
        <v>1102</v>
      </c>
      <c r="D11" s="567" t="s">
        <v>1068</v>
      </c>
      <c r="E11" s="567" t="s">
        <v>1074</v>
      </c>
      <c r="F11" s="567">
        <v>69761.100000000006</v>
      </c>
      <c r="G11" s="567">
        <v>1</v>
      </c>
    </row>
    <row r="12" spans="1:15" x14ac:dyDescent="0.3">
      <c r="A12" s="567" t="s">
        <v>1093</v>
      </c>
      <c r="B12" s="567" t="s">
        <v>10</v>
      </c>
      <c r="C12" s="567" t="s">
        <v>1103</v>
      </c>
      <c r="D12" s="567" t="s">
        <v>1088</v>
      </c>
      <c r="E12" s="567" t="s">
        <v>1074</v>
      </c>
      <c r="F12" s="567">
        <v>31399.599999999999</v>
      </c>
      <c r="G12" s="567">
        <v>5</v>
      </c>
    </row>
    <row r="13" spans="1:15" x14ac:dyDescent="0.3">
      <c r="A13" s="567" t="s">
        <v>1104</v>
      </c>
      <c r="B13" s="567" t="s">
        <v>1105</v>
      </c>
      <c r="C13" s="567" t="s">
        <v>1106</v>
      </c>
      <c r="D13" s="567" t="s">
        <v>1073</v>
      </c>
      <c r="E13" s="567" t="s">
        <v>1069</v>
      </c>
      <c r="F13" s="567">
        <v>18167.939999999999</v>
      </c>
      <c r="G13" s="567">
        <v>2</v>
      </c>
    </row>
    <row r="14" spans="1:15" x14ac:dyDescent="0.3">
      <c r="A14" s="567" t="s">
        <v>1097</v>
      </c>
      <c r="B14" s="567" t="s">
        <v>1107</v>
      </c>
      <c r="C14" s="567" t="s">
        <v>1108</v>
      </c>
      <c r="D14" s="567" t="s">
        <v>1109</v>
      </c>
      <c r="E14" s="567" t="s">
        <v>1074</v>
      </c>
      <c r="F14" s="567">
        <v>32961.199999999997</v>
      </c>
      <c r="G14" s="567">
        <v>2</v>
      </c>
    </row>
    <row r="15" spans="1:15" x14ac:dyDescent="0.3">
      <c r="A15" s="567" t="s">
        <v>1110</v>
      </c>
      <c r="B15" s="567" t="s">
        <v>1111</v>
      </c>
      <c r="C15" s="567" t="s">
        <v>1112</v>
      </c>
      <c r="D15" s="567" t="s">
        <v>1109</v>
      </c>
      <c r="E15" s="567" t="s">
        <v>1096</v>
      </c>
      <c r="F15" s="567">
        <v>46556.77</v>
      </c>
      <c r="G15" s="567">
        <v>4</v>
      </c>
    </row>
    <row r="16" spans="1:15" x14ac:dyDescent="0.3">
      <c r="A16" s="567" t="s">
        <v>1100</v>
      </c>
      <c r="B16" s="567" t="s">
        <v>1113</v>
      </c>
      <c r="C16" s="567" t="s">
        <v>1114</v>
      </c>
      <c r="D16" s="567" t="s">
        <v>1077</v>
      </c>
      <c r="E16" s="567" t="s">
        <v>1074</v>
      </c>
      <c r="F16" s="567">
        <v>32137.43</v>
      </c>
      <c r="G16" s="567">
        <v>4</v>
      </c>
    </row>
    <row r="17" spans="1:7" x14ac:dyDescent="0.3">
      <c r="A17" s="567" t="s">
        <v>1115</v>
      </c>
      <c r="B17" s="567" t="s">
        <v>118</v>
      </c>
      <c r="C17" s="567" t="s">
        <v>1116</v>
      </c>
      <c r="D17" s="567" t="s">
        <v>1083</v>
      </c>
      <c r="E17" s="567" t="s">
        <v>1074</v>
      </c>
      <c r="F17" s="567">
        <v>10041.370000000001</v>
      </c>
      <c r="G17" s="567">
        <v>1</v>
      </c>
    </row>
  </sheetData>
  <hyperlinks>
    <hyperlink ref="O1" location="Index!A1" display="← Back to Index" xr:uid="{32F98759-238B-4912-98C6-D6603F2BECD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F41"/>
  <sheetViews>
    <sheetView workbookViewId="0"/>
  </sheetViews>
  <sheetFormatPr defaultRowHeight="14.4" x14ac:dyDescent="0.3"/>
  <cols>
    <col min="1" max="1" width="8.44140625" bestFit="1" customWidth="1"/>
    <col min="2" max="2" width="12.88671875" bestFit="1" customWidth="1"/>
    <col min="3" max="3" width="16.88671875" bestFit="1" customWidth="1"/>
    <col min="4" max="4" width="13.6640625" bestFit="1" customWidth="1"/>
    <col min="5" max="5" width="9.88671875" bestFit="1" customWidth="1"/>
    <col min="6" max="6" width="14.88671875" bestFit="1" customWidth="1"/>
  </cols>
  <sheetData>
    <row r="1" spans="1:6" x14ac:dyDescent="0.3">
      <c r="A1" t="s">
        <v>0</v>
      </c>
      <c r="B1" t="s">
        <v>1</v>
      </c>
      <c r="C1" t="s">
        <v>2</v>
      </c>
      <c r="D1" t="s">
        <v>3</v>
      </c>
      <c r="E1" t="s">
        <v>4</v>
      </c>
      <c r="F1" t="s">
        <v>5</v>
      </c>
    </row>
    <row r="2" spans="1:6" x14ac:dyDescent="0.3">
      <c r="A2">
        <v>101</v>
      </c>
      <c r="B2" t="s">
        <v>6</v>
      </c>
      <c r="C2" t="s">
        <v>7</v>
      </c>
      <c r="D2" t="s">
        <v>8</v>
      </c>
      <c r="E2" t="s">
        <v>9</v>
      </c>
      <c r="F2" s="1">
        <v>46024</v>
      </c>
    </row>
    <row r="3" spans="1:6" x14ac:dyDescent="0.3">
      <c r="A3">
        <v>102</v>
      </c>
      <c r="B3" t="s">
        <v>10</v>
      </c>
      <c r="C3" t="s">
        <v>11</v>
      </c>
      <c r="D3" t="s">
        <v>12</v>
      </c>
      <c r="E3" t="s">
        <v>9</v>
      </c>
      <c r="F3" s="1">
        <v>46025</v>
      </c>
    </row>
    <row r="4" spans="1:6" x14ac:dyDescent="0.3">
      <c r="A4">
        <v>103</v>
      </c>
      <c r="B4" t="s">
        <v>13</v>
      </c>
      <c r="C4" t="s">
        <v>14</v>
      </c>
      <c r="D4" t="s">
        <v>15</v>
      </c>
      <c r="E4" t="s">
        <v>9</v>
      </c>
      <c r="F4" s="1">
        <v>46026</v>
      </c>
    </row>
    <row r="5" spans="1:6" x14ac:dyDescent="0.3">
      <c r="A5">
        <v>104</v>
      </c>
      <c r="B5" t="s">
        <v>16</v>
      </c>
      <c r="C5" t="s">
        <v>17</v>
      </c>
      <c r="D5" t="s">
        <v>8</v>
      </c>
      <c r="E5" t="s">
        <v>9</v>
      </c>
      <c r="F5" s="1">
        <v>46027</v>
      </c>
    </row>
    <row r="6" spans="1:6" x14ac:dyDescent="0.3">
      <c r="A6">
        <v>105</v>
      </c>
      <c r="B6" t="s">
        <v>18</v>
      </c>
      <c r="C6" t="s">
        <v>19</v>
      </c>
      <c r="D6" t="s">
        <v>20</v>
      </c>
      <c r="E6" t="s">
        <v>9</v>
      </c>
      <c r="F6" s="1">
        <v>46028</v>
      </c>
    </row>
    <row r="7" spans="1:6" x14ac:dyDescent="0.3">
      <c r="A7">
        <v>106</v>
      </c>
      <c r="B7" t="s">
        <v>21</v>
      </c>
      <c r="C7" t="s">
        <v>22</v>
      </c>
      <c r="D7" t="s">
        <v>15</v>
      </c>
      <c r="E7" t="s">
        <v>23</v>
      </c>
      <c r="F7" s="1">
        <v>46029</v>
      </c>
    </row>
    <row r="8" spans="1:6" x14ac:dyDescent="0.3">
      <c r="A8">
        <v>107</v>
      </c>
      <c r="B8" t="s">
        <v>24</v>
      </c>
      <c r="C8" t="s">
        <v>25</v>
      </c>
      <c r="D8" t="s">
        <v>8</v>
      </c>
      <c r="E8" t="s">
        <v>23</v>
      </c>
      <c r="F8" s="1">
        <v>46030</v>
      </c>
    </row>
    <row r="9" spans="1:6" x14ac:dyDescent="0.3">
      <c r="A9">
        <v>108</v>
      </c>
      <c r="B9" t="s">
        <v>26</v>
      </c>
      <c r="C9" t="s">
        <v>27</v>
      </c>
      <c r="D9" t="s">
        <v>15</v>
      </c>
      <c r="E9" t="s">
        <v>9</v>
      </c>
      <c r="F9" s="1">
        <v>46031</v>
      </c>
    </row>
    <row r="10" spans="1:6" x14ac:dyDescent="0.3">
      <c r="A10">
        <v>109</v>
      </c>
      <c r="B10" t="s">
        <v>28</v>
      </c>
      <c r="C10" t="s">
        <v>29</v>
      </c>
      <c r="D10" t="s">
        <v>12</v>
      </c>
      <c r="E10" t="s">
        <v>9</v>
      </c>
      <c r="F10" s="1">
        <v>46032</v>
      </c>
    </row>
    <row r="11" spans="1:6" x14ac:dyDescent="0.3">
      <c r="A11">
        <v>110</v>
      </c>
      <c r="B11" t="s">
        <v>30</v>
      </c>
      <c r="C11" t="s">
        <v>31</v>
      </c>
      <c r="D11" t="s">
        <v>20</v>
      </c>
      <c r="E11" t="s">
        <v>9</v>
      </c>
      <c r="F11" s="1">
        <v>46033</v>
      </c>
    </row>
    <row r="12" spans="1:6" x14ac:dyDescent="0.3">
      <c r="A12">
        <v>111</v>
      </c>
      <c r="B12" t="s">
        <v>32</v>
      </c>
      <c r="C12" t="s">
        <v>33</v>
      </c>
      <c r="D12" t="s">
        <v>8</v>
      </c>
      <c r="E12" t="s">
        <v>23</v>
      </c>
      <c r="F12" s="1">
        <v>46034</v>
      </c>
    </row>
    <row r="13" spans="1:6" x14ac:dyDescent="0.3">
      <c r="A13">
        <v>112</v>
      </c>
      <c r="B13" t="s">
        <v>34</v>
      </c>
      <c r="C13" t="s">
        <v>35</v>
      </c>
      <c r="D13" t="s">
        <v>12</v>
      </c>
      <c r="E13" t="s">
        <v>23</v>
      </c>
      <c r="F13" s="1">
        <v>46035</v>
      </c>
    </row>
    <row r="14" spans="1:6" x14ac:dyDescent="0.3">
      <c r="A14">
        <v>113</v>
      </c>
      <c r="B14" t="s">
        <v>36</v>
      </c>
      <c r="C14" t="s">
        <v>37</v>
      </c>
      <c r="D14" t="s">
        <v>20</v>
      </c>
      <c r="E14" t="s">
        <v>9</v>
      </c>
      <c r="F14" s="1">
        <v>46036</v>
      </c>
    </row>
    <row r="15" spans="1:6" x14ac:dyDescent="0.3">
      <c r="A15">
        <v>114</v>
      </c>
      <c r="B15" t="s">
        <v>38</v>
      </c>
      <c r="C15" t="s">
        <v>39</v>
      </c>
      <c r="D15" t="s">
        <v>12</v>
      </c>
      <c r="E15" t="s">
        <v>23</v>
      </c>
      <c r="F15" s="1">
        <v>46037</v>
      </c>
    </row>
    <row r="16" spans="1:6" x14ac:dyDescent="0.3">
      <c r="A16">
        <v>115</v>
      </c>
      <c r="B16" t="s">
        <v>40</v>
      </c>
      <c r="C16" t="s">
        <v>41</v>
      </c>
      <c r="D16" t="s">
        <v>12</v>
      </c>
      <c r="E16" t="s">
        <v>9</v>
      </c>
      <c r="F16" s="1">
        <v>46038</v>
      </c>
    </row>
    <row r="17" spans="1:6" x14ac:dyDescent="0.3">
      <c r="A17">
        <v>116</v>
      </c>
      <c r="B17" t="s">
        <v>36</v>
      </c>
      <c r="C17" t="s">
        <v>42</v>
      </c>
      <c r="D17" t="s">
        <v>15</v>
      </c>
      <c r="E17" t="s">
        <v>9</v>
      </c>
      <c r="F17" s="1">
        <v>46039</v>
      </c>
    </row>
    <row r="18" spans="1:6" x14ac:dyDescent="0.3">
      <c r="A18">
        <v>117</v>
      </c>
      <c r="B18" t="s">
        <v>43</v>
      </c>
      <c r="C18" t="s">
        <v>44</v>
      </c>
      <c r="D18" t="s">
        <v>20</v>
      </c>
      <c r="E18" t="s">
        <v>23</v>
      </c>
      <c r="F18" s="1">
        <v>46040</v>
      </c>
    </row>
    <row r="19" spans="1:6" x14ac:dyDescent="0.3">
      <c r="A19">
        <v>118</v>
      </c>
      <c r="B19" t="s">
        <v>45</v>
      </c>
      <c r="C19" t="s">
        <v>46</v>
      </c>
      <c r="D19" t="s">
        <v>8</v>
      </c>
      <c r="E19" t="s">
        <v>9</v>
      </c>
      <c r="F19" s="1">
        <v>46041</v>
      </c>
    </row>
    <row r="20" spans="1:6" x14ac:dyDescent="0.3">
      <c r="A20">
        <v>119</v>
      </c>
      <c r="B20" t="s">
        <v>38</v>
      </c>
      <c r="C20" t="s">
        <v>47</v>
      </c>
      <c r="D20" t="s">
        <v>8</v>
      </c>
      <c r="E20" t="s">
        <v>23</v>
      </c>
      <c r="F20" s="1">
        <v>46042</v>
      </c>
    </row>
    <row r="21" spans="1:6" x14ac:dyDescent="0.3">
      <c r="A21">
        <v>120</v>
      </c>
      <c r="B21" t="s">
        <v>48</v>
      </c>
      <c r="C21" t="s">
        <v>49</v>
      </c>
      <c r="D21" t="s">
        <v>12</v>
      </c>
      <c r="E21" t="s">
        <v>23</v>
      </c>
      <c r="F21" s="1">
        <v>46043</v>
      </c>
    </row>
    <row r="22" spans="1:6" x14ac:dyDescent="0.3">
      <c r="A22">
        <v>121</v>
      </c>
      <c r="B22" t="s">
        <v>50</v>
      </c>
      <c r="C22" t="s">
        <v>51</v>
      </c>
      <c r="D22" t="s">
        <v>20</v>
      </c>
      <c r="E22" t="s">
        <v>9</v>
      </c>
      <c r="F22" s="1">
        <v>46044</v>
      </c>
    </row>
    <row r="23" spans="1:6" x14ac:dyDescent="0.3">
      <c r="A23">
        <v>122</v>
      </c>
      <c r="B23" t="s">
        <v>52</v>
      </c>
      <c r="C23" t="s">
        <v>53</v>
      </c>
      <c r="D23" t="s">
        <v>12</v>
      </c>
      <c r="E23" t="s">
        <v>23</v>
      </c>
      <c r="F23" s="1">
        <v>46045</v>
      </c>
    </row>
    <row r="24" spans="1:6" x14ac:dyDescent="0.3">
      <c r="A24">
        <v>123</v>
      </c>
      <c r="B24" t="s">
        <v>54</v>
      </c>
      <c r="C24" t="s">
        <v>55</v>
      </c>
      <c r="D24" t="s">
        <v>8</v>
      </c>
      <c r="E24" t="s">
        <v>23</v>
      </c>
      <c r="F24" s="1">
        <v>46046</v>
      </c>
    </row>
    <row r="25" spans="1:6" x14ac:dyDescent="0.3">
      <c r="A25">
        <v>124</v>
      </c>
      <c r="B25" t="s">
        <v>38</v>
      </c>
      <c r="C25" t="s">
        <v>56</v>
      </c>
      <c r="D25" t="s">
        <v>8</v>
      </c>
      <c r="E25" t="s">
        <v>9</v>
      </c>
      <c r="F25" s="1">
        <v>46047</v>
      </c>
    </row>
    <row r="26" spans="1:6" x14ac:dyDescent="0.3">
      <c r="A26">
        <v>125</v>
      </c>
      <c r="B26" t="s">
        <v>57</v>
      </c>
      <c r="C26" t="s">
        <v>58</v>
      </c>
      <c r="D26" t="s">
        <v>12</v>
      </c>
      <c r="E26" t="s">
        <v>9</v>
      </c>
      <c r="F26" s="1">
        <v>46048</v>
      </c>
    </row>
    <row r="27" spans="1:6" x14ac:dyDescent="0.3">
      <c r="A27">
        <v>126</v>
      </c>
      <c r="B27" t="s">
        <v>52</v>
      </c>
      <c r="C27" t="s">
        <v>59</v>
      </c>
      <c r="D27" t="s">
        <v>12</v>
      </c>
      <c r="E27" t="s">
        <v>9</v>
      </c>
      <c r="F27" s="1">
        <v>46049</v>
      </c>
    </row>
    <row r="28" spans="1:6" x14ac:dyDescent="0.3">
      <c r="A28">
        <v>127</v>
      </c>
      <c r="B28" t="s">
        <v>16</v>
      </c>
      <c r="C28" t="s">
        <v>60</v>
      </c>
      <c r="D28" t="s">
        <v>12</v>
      </c>
      <c r="E28" t="s">
        <v>23</v>
      </c>
      <c r="F28" s="1">
        <v>46050</v>
      </c>
    </row>
    <row r="29" spans="1:6" x14ac:dyDescent="0.3">
      <c r="A29">
        <v>128</v>
      </c>
      <c r="B29" t="s">
        <v>21</v>
      </c>
      <c r="C29" t="s">
        <v>61</v>
      </c>
      <c r="D29" t="s">
        <v>15</v>
      </c>
      <c r="E29" t="s">
        <v>23</v>
      </c>
      <c r="F29" s="1">
        <v>46051</v>
      </c>
    </row>
    <row r="30" spans="1:6" x14ac:dyDescent="0.3">
      <c r="A30">
        <v>129</v>
      </c>
      <c r="B30" t="s">
        <v>62</v>
      </c>
      <c r="C30" t="s">
        <v>63</v>
      </c>
      <c r="D30" t="s">
        <v>20</v>
      </c>
      <c r="E30" t="s">
        <v>9</v>
      </c>
      <c r="F30" s="1">
        <v>46052</v>
      </c>
    </row>
    <row r="31" spans="1:6" x14ac:dyDescent="0.3">
      <c r="A31">
        <v>130</v>
      </c>
      <c r="B31" t="s">
        <v>32</v>
      </c>
      <c r="C31" t="s">
        <v>64</v>
      </c>
      <c r="D31" t="s">
        <v>20</v>
      </c>
      <c r="E31" t="s">
        <v>23</v>
      </c>
      <c r="F31" s="1">
        <v>46053</v>
      </c>
    </row>
    <row r="32" spans="1:6" x14ac:dyDescent="0.3">
      <c r="A32">
        <v>131</v>
      </c>
      <c r="B32" t="s">
        <v>10</v>
      </c>
      <c r="C32" t="s">
        <v>65</v>
      </c>
      <c r="D32" t="s">
        <v>8</v>
      </c>
      <c r="E32" t="s">
        <v>23</v>
      </c>
      <c r="F32" s="1">
        <v>46054</v>
      </c>
    </row>
    <row r="33" spans="1:6" x14ac:dyDescent="0.3">
      <c r="A33">
        <v>132</v>
      </c>
      <c r="B33" t="s">
        <v>66</v>
      </c>
      <c r="C33" t="s">
        <v>67</v>
      </c>
      <c r="D33" t="s">
        <v>12</v>
      </c>
      <c r="E33" t="s">
        <v>9</v>
      </c>
      <c r="F33" s="1">
        <v>46055</v>
      </c>
    </row>
    <row r="34" spans="1:6" x14ac:dyDescent="0.3">
      <c r="A34">
        <v>133</v>
      </c>
      <c r="B34" t="s">
        <v>68</v>
      </c>
      <c r="C34" t="s">
        <v>69</v>
      </c>
      <c r="D34" t="s">
        <v>12</v>
      </c>
      <c r="E34" t="s">
        <v>9</v>
      </c>
      <c r="F34" s="1">
        <v>46056</v>
      </c>
    </row>
    <row r="35" spans="1:6" x14ac:dyDescent="0.3">
      <c r="A35">
        <v>134</v>
      </c>
      <c r="B35" t="s">
        <v>45</v>
      </c>
      <c r="C35" t="s">
        <v>70</v>
      </c>
      <c r="D35" t="s">
        <v>12</v>
      </c>
      <c r="E35" t="s">
        <v>9</v>
      </c>
      <c r="F35" s="1">
        <v>46057</v>
      </c>
    </row>
    <row r="36" spans="1:6" x14ac:dyDescent="0.3">
      <c r="A36">
        <v>135</v>
      </c>
      <c r="B36" t="s">
        <v>57</v>
      </c>
      <c r="C36" t="s">
        <v>71</v>
      </c>
      <c r="D36" t="s">
        <v>15</v>
      </c>
      <c r="E36" t="s">
        <v>23</v>
      </c>
      <c r="F36" s="1">
        <v>46058</v>
      </c>
    </row>
    <row r="37" spans="1:6" x14ac:dyDescent="0.3">
      <c r="A37">
        <v>136</v>
      </c>
      <c r="B37" t="s">
        <v>72</v>
      </c>
      <c r="C37" t="s">
        <v>73</v>
      </c>
      <c r="D37" t="s">
        <v>8</v>
      </c>
      <c r="E37" t="s">
        <v>23</v>
      </c>
      <c r="F37" s="1">
        <v>46059</v>
      </c>
    </row>
    <row r="38" spans="1:6" x14ac:dyDescent="0.3">
      <c r="A38">
        <v>137</v>
      </c>
      <c r="B38" t="s">
        <v>74</v>
      </c>
      <c r="C38" t="s">
        <v>75</v>
      </c>
      <c r="D38" t="s">
        <v>8</v>
      </c>
      <c r="E38" t="s">
        <v>23</v>
      </c>
      <c r="F38" s="1">
        <v>46060</v>
      </c>
    </row>
    <row r="39" spans="1:6" x14ac:dyDescent="0.3">
      <c r="A39">
        <v>138</v>
      </c>
      <c r="B39" t="s">
        <v>76</v>
      </c>
      <c r="C39" t="s">
        <v>77</v>
      </c>
      <c r="D39" t="s">
        <v>15</v>
      </c>
      <c r="E39" t="s">
        <v>23</v>
      </c>
      <c r="F39" s="1">
        <v>46061</v>
      </c>
    </row>
    <row r="40" spans="1:6" x14ac:dyDescent="0.3">
      <c r="A40">
        <v>139</v>
      </c>
      <c r="B40" t="s">
        <v>48</v>
      </c>
      <c r="C40" t="s">
        <v>78</v>
      </c>
      <c r="D40" t="s">
        <v>12</v>
      </c>
      <c r="E40" t="s">
        <v>23</v>
      </c>
      <c r="F40" s="1">
        <v>46062</v>
      </c>
    </row>
    <row r="41" spans="1:6" x14ac:dyDescent="0.3">
      <c r="A41">
        <v>140</v>
      </c>
      <c r="B41" t="s">
        <v>40</v>
      </c>
      <c r="C41" t="s">
        <v>79</v>
      </c>
      <c r="D41" t="s">
        <v>20</v>
      </c>
      <c r="E41" t="s">
        <v>23</v>
      </c>
      <c r="F41" s="1">
        <v>46063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E5B8B-7850-4F1D-925B-A19CB55B4427}">
  <sheetPr>
    <tabColor theme="5" tint="0.79998168889431442"/>
  </sheetPr>
  <dimension ref="A1:H45"/>
  <sheetViews>
    <sheetView zoomScaleNormal="100" workbookViewId="0">
      <pane ySplit="3" topLeftCell="A4" activePane="bottomLeft" state="frozen"/>
      <selection sqref="A1:H1"/>
      <selection pane="bottomLeft" activeCell="A4" sqref="A4"/>
    </sheetView>
  </sheetViews>
  <sheetFormatPr defaultRowHeight="14.4" x14ac:dyDescent="0.3"/>
  <cols>
    <col min="1" max="1" width="10" customWidth="1"/>
    <col min="2" max="2" width="20" customWidth="1"/>
    <col min="3" max="3" width="26" customWidth="1"/>
    <col min="4" max="4" width="18" customWidth="1"/>
    <col min="5" max="5" width="14" customWidth="1"/>
    <col min="6" max="6" width="18" customWidth="1"/>
    <col min="7" max="7" width="24" customWidth="1"/>
    <col min="8" max="8" width="72" customWidth="1"/>
  </cols>
  <sheetData>
    <row r="1" spans="1:8" ht="31.95" customHeight="1" x14ac:dyDescent="0.3">
      <c r="A1" s="711" t="s">
        <v>413</v>
      </c>
      <c r="B1" s="708"/>
      <c r="C1" s="708"/>
      <c r="D1" s="708"/>
      <c r="E1" s="708"/>
      <c r="F1" s="708"/>
      <c r="G1" s="708"/>
      <c r="H1" s="708"/>
    </row>
    <row r="2" spans="1:8" ht="19.95" customHeight="1" x14ac:dyDescent="0.3">
      <c r="A2" s="712" t="s">
        <v>414</v>
      </c>
      <c r="B2" s="708"/>
      <c r="C2" s="708"/>
      <c r="D2" s="708"/>
      <c r="E2" s="708"/>
      <c r="F2" s="708"/>
      <c r="G2" s="708"/>
      <c r="H2" s="708"/>
    </row>
    <row r="3" spans="1:8" ht="22.05" customHeight="1" x14ac:dyDescent="0.3">
      <c r="A3" s="6" t="s">
        <v>415</v>
      </c>
      <c r="B3" s="6" t="s">
        <v>416</v>
      </c>
      <c r="C3" s="6" t="s">
        <v>417</v>
      </c>
      <c r="D3" s="6" t="s">
        <v>3</v>
      </c>
      <c r="E3" s="6" t="s">
        <v>418</v>
      </c>
      <c r="F3" s="6" t="s">
        <v>419</v>
      </c>
      <c r="G3" s="6" t="s">
        <v>420</v>
      </c>
      <c r="H3" s="6" t="s">
        <v>421</v>
      </c>
    </row>
    <row r="4" spans="1:8" ht="208.05" customHeight="1" x14ac:dyDescent="0.3">
      <c r="A4" s="7">
        <v>101</v>
      </c>
      <c r="B4" s="8" t="s">
        <v>6</v>
      </c>
      <c r="C4" s="9" t="s">
        <v>7</v>
      </c>
      <c r="D4" s="8" t="s">
        <v>8</v>
      </c>
      <c r="E4" s="10" t="s">
        <v>9</v>
      </c>
      <c r="F4" s="7" t="s">
        <v>412</v>
      </c>
      <c r="G4" s="11" t="s">
        <v>378</v>
      </c>
      <c r="H4" s="12" t="s">
        <v>422</v>
      </c>
    </row>
    <row r="5" spans="1:8" ht="208.05" customHeight="1" x14ac:dyDescent="0.3">
      <c r="A5" s="13">
        <v>102</v>
      </c>
      <c r="B5" s="14" t="s">
        <v>10</v>
      </c>
      <c r="C5" s="15" t="s">
        <v>11</v>
      </c>
      <c r="D5" s="14" t="s">
        <v>12</v>
      </c>
      <c r="E5" s="10" t="s">
        <v>9</v>
      </c>
      <c r="F5" s="13" t="s">
        <v>411</v>
      </c>
      <c r="G5" s="11" t="s">
        <v>378</v>
      </c>
      <c r="H5" s="12" t="s">
        <v>423</v>
      </c>
    </row>
    <row r="6" spans="1:8" ht="208.05" customHeight="1" x14ac:dyDescent="0.3">
      <c r="A6" s="7">
        <v>103</v>
      </c>
      <c r="B6" s="8" t="s">
        <v>13</v>
      </c>
      <c r="C6" s="9" t="s">
        <v>14</v>
      </c>
      <c r="D6" s="8" t="s">
        <v>15</v>
      </c>
      <c r="E6" s="10" t="s">
        <v>9</v>
      </c>
      <c r="F6" s="7" t="s">
        <v>410</v>
      </c>
      <c r="G6" s="11" t="s">
        <v>378</v>
      </c>
      <c r="H6" s="12" t="s">
        <v>424</v>
      </c>
    </row>
    <row r="7" spans="1:8" ht="208.05" customHeight="1" x14ac:dyDescent="0.3">
      <c r="A7" s="13">
        <v>104</v>
      </c>
      <c r="B7" s="14" t="s">
        <v>16</v>
      </c>
      <c r="C7" s="15" t="s">
        <v>17</v>
      </c>
      <c r="D7" s="14" t="s">
        <v>8</v>
      </c>
      <c r="E7" s="10" t="s">
        <v>9</v>
      </c>
      <c r="F7" s="13" t="s">
        <v>409</v>
      </c>
      <c r="G7" s="11" t="s">
        <v>378</v>
      </c>
      <c r="H7" s="12" t="s">
        <v>425</v>
      </c>
    </row>
    <row r="8" spans="1:8" ht="208.05" customHeight="1" x14ac:dyDescent="0.3">
      <c r="A8" s="7">
        <v>105</v>
      </c>
      <c r="B8" s="8" t="s">
        <v>18</v>
      </c>
      <c r="C8" s="9" t="s">
        <v>19</v>
      </c>
      <c r="D8" s="8" t="s">
        <v>20</v>
      </c>
      <c r="E8" s="10" t="s">
        <v>9</v>
      </c>
      <c r="F8" s="7" t="s">
        <v>408</v>
      </c>
      <c r="G8" s="11" t="s">
        <v>378</v>
      </c>
      <c r="H8" s="12" t="s">
        <v>426</v>
      </c>
    </row>
    <row r="9" spans="1:8" ht="181.95" customHeight="1" x14ac:dyDescent="0.3">
      <c r="A9" s="16">
        <v>106</v>
      </c>
      <c r="B9" s="17" t="s">
        <v>21</v>
      </c>
      <c r="C9" s="18" t="s">
        <v>22</v>
      </c>
      <c r="D9" s="17" t="s">
        <v>15</v>
      </c>
      <c r="E9" s="19" t="s">
        <v>23</v>
      </c>
      <c r="F9" s="16" t="s">
        <v>407</v>
      </c>
      <c r="G9" s="20" t="s">
        <v>371</v>
      </c>
      <c r="H9" s="21" t="s">
        <v>427</v>
      </c>
    </row>
    <row r="10" spans="1:8" ht="181.95" customHeight="1" x14ac:dyDescent="0.3">
      <c r="A10" s="22">
        <v>107</v>
      </c>
      <c r="B10" s="23" t="s">
        <v>24</v>
      </c>
      <c r="C10" s="24" t="s">
        <v>25</v>
      </c>
      <c r="D10" s="23" t="s">
        <v>8</v>
      </c>
      <c r="E10" s="19" t="s">
        <v>23</v>
      </c>
      <c r="F10" s="22" t="s">
        <v>406</v>
      </c>
      <c r="G10" s="20" t="s">
        <v>371</v>
      </c>
      <c r="H10" s="21" t="s">
        <v>428</v>
      </c>
    </row>
    <row r="11" spans="1:8" ht="208.05" customHeight="1" x14ac:dyDescent="0.3">
      <c r="A11" s="13">
        <v>108</v>
      </c>
      <c r="B11" s="14" t="s">
        <v>26</v>
      </c>
      <c r="C11" s="15" t="s">
        <v>27</v>
      </c>
      <c r="D11" s="14" t="s">
        <v>15</v>
      </c>
      <c r="E11" s="10" t="s">
        <v>9</v>
      </c>
      <c r="F11" s="13" t="s">
        <v>405</v>
      </c>
      <c r="G11" s="11" t="s">
        <v>378</v>
      </c>
      <c r="H11" s="12" t="s">
        <v>429</v>
      </c>
    </row>
    <row r="12" spans="1:8" ht="208.05" customHeight="1" x14ac:dyDescent="0.3">
      <c r="A12" s="7">
        <v>109</v>
      </c>
      <c r="B12" s="8" t="s">
        <v>28</v>
      </c>
      <c r="C12" s="9" t="s">
        <v>29</v>
      </c>
      <c r="D12" s="8" t="s">
        <v>12</v>
      </c>
      <c r="E12" s="10" t="s">
        <v>9</v>
      </c>
      <c r="F12" s="7" t="s">
        <v>404</v>
      </c>
      <c r="G12" s="11" t="s">
        <v>378</v>
      </c>
      <c r="H12" s="12" t="s">
        <v>430</v>
      </c>
    </row>
    <row r="13" spans="1:8" ht="208.05" customHeight="1" x14ac:dyDescent="0.3">
      <c r="A13" s="13">
        <v>110</v>
      </c>
      <c r="B13" s="14" t="s">
        <v>30</v>
      </c>
      <c r="C13" s="15" t="s">
        <v>31</v>
      </c>
      <c r="D13" s="14" t="s">
        <v>20</v>
      </c>
      <c r="E13" s="10" t="s">
        <v>9</v>
      </c>
      <c r="F13" s="13" t="s">
        <v>403</v>
      </c>
      <c r="G13" s="11" t="s">
        <v>378</v>
      </c>
      <c r="H13" s="12" t="s">
        <v>431</v>
      </c>
    </row>
    <row r="14" spans="1:8" ht="181.95" customHeight="1" x14ac:dyDescent="0.3">
      <c r="A14" s="22">
        <v>111</v>
      </c>
      <c r="B14" s="23" t="s">
        <v>32</v>
      </c>
      <c r="C14" s="24" t="s">
        <v>33</v>
      </c>
      <c r="D14" s="23" t="s">
        <v>8</v>
      </c>
      <c r="E14" s="19" t="s">
        <v>23</v>
      </c>
      <c r="F14" s="22" t="s">
        <v>402</v>
      </c>
      <c r="G14" s="20" t="s">
        <v>371</v>
      </c>
      <c r="H14" s="21" t="s">
        <v>432</v>
      </c>
    </row>
    <row r="15" spans="1:8" ht="181.95" customHeight="1" x14ac:dyDescent="0.3">
      <c r="A15" s="16">
        <v>112</v>
      </c>
      <c r="B15" s="17" t="s">
        <v>34</v>
      </c>
      <c r="C15" s="18" t="s">
        <v>35</v>
      </c>
      <c r="D15" s="17" t="s">
        <v>12</v>
      </c>
      <c r="E15" s="19" t="s">
        <v>23</v>
      </c>
      <c r="F15" s="16" t="s">
        <v>401</v>
      </c>
      <c r="G15" s="20" t="s">
        <v>371</v>
      </c>
      <c r="H15" s="21" t="s">
        <v>433</v>
      </c>
    </row>
    <row r="16" spans="1:8" ht="208.05" customHeight="1" x14ac:dyDescent="0.3">
      <c r="A16" s="7">
        <v>113</v>
      </c>
      <c r="B16" s="8" t="s">
        <v>36</v>
      </c>
      <c r="C16" s="9" t="s">
        <v>37</v>
      </c>
      <c r="D16" s="8" t="s">
        <v>20</v>
      </c>
      <c r="E16" s="10" t="s">
        <v>9</v>
      </c>
      <c r="F16" s="7" t="s">
        <v>400</v>
      </c>
      <c r="G16" s="11" t="s">
        <v>378</v>
      </c>
      <c r="H16" s="12" t="s">
        <v>434</v>
      </c>
    </row>
    <row r="17" spans="1:8" ht="181.95" customHeight="1" x14ac:dyDescent="0.3">
      <c r="A17" s="16">
        <v>114</v>
      </c>
      <c r="B17" s="17" t="s">
        <v>38</v>
      </c>
      <c r="C17" s="18" t="s">
        <v>39</v>
      </c>
      <c r="D17" s="17" t="s">
        <v>12</v>
      </c>
      <c r="E17" s="19" t="s">
        <v>23</v>
      </c>
      <c r="F17" s="16" t="s">
        <v>399</v>
      </c>
      <c r="G17" s="20" t="s">
        <v>371</v>
      </c>
      <c r="H17" s="21" t="s">
        <v>435</v>
      </c>
    </row>
    <row r="18" spans="1:8" ht="208.05" customHeight="1" x14ac:dyDescent="0.3">
      <c r="A18" s="7">
        <v>115</v>
      </c>
      <c r="B18" s="8" t="s">
        <v>40</v>
      </c>
      <c r="C18" s="9" t="s">
        <v>41</v>
      </c>
      <c r="D18" s="8" t="s">
        <v>12</v>
      </c>
      <c r="E18" s="10" t="s">
        <v>9</v>
      </c>
      <c r="F18" s="7" t="s">
        <v>398</v>
      </c>
      <c r="G18" s="11" t="s">
        <v>378</v>
      </c>
      <c r="H18" s="12" t="s">
        <v>436</v>
      </c>
    </row>
    <row r="19" spans="1:8" ht="208.05" customHeight="1" x14ac:dyDescent="0.3">
      <c r="A19" s="13">
        <v>116</v>
      </c>
      <c r="B19" s="14" t="s">
        <v>36</v>
      </c>
      <c r="C19" s="15" t="s">
        <v>42</v>
      </c>
      <c r="D19" s="14" t="s">
        <v>15</v>
      </c>
      <c r="E19" s="10" t="s">
        <v>9</v>
      </c>
      <c r="F19" s="13" t="s">
        <v>397</v>
      </c>
      <c r="G19" s="11" t="s">
        <v>378</v>
      </c>
      <c r="H19" s="12" t="s">
        <v>437</v>
      </c>
    </row>
    <row r="20" spans="1:8" ht="181.95" customHeight="1" x14ac:dyDescent="0.3">
      <c r="A20" s="22">
        <v>117</v>
      </c>
      <c r="B20" s="23" t="s">
        <v>43</v>
      </c>
      <c r="C20" s="24" t="s">
        <v>44</v>
      </c>
      <c r="D20" s="23" t="s">
        <v>20</v>
      </c>
      <c r="E20" s="19" t="s">
        <v>23</v>
      </c>
      <c r="F20" s="22" t="s">
        <v>396</v>
      </c>
      <c r="G20" s="20" t="s">
        <v>371</v>
      </c>
      <c r="H20" s="21" t="s">
        <v>438</v>
      </c>
    </row>
    <row r="21" spans="1:8" ht="208.05" customHeight="1" x14ac:dyDescent="0.3">
      <c r="A21" s="13">
        <v>118</v>
      </c>
      <c r="B21" s="14" t="s">
        <v>45</v>
      </c>
      <c r="C21" s="15" t="s">
        <v>46</v>
      </c>
      <c r="D21" s="14" t="s">
        <v>8</v>
      </c>
      <c r="E21" s="10" t="s">
        <v>9</v>
      </c>
      <c r="F21" s="13" t="s">
        <v>395</v>
      </c>
      <c r="G21" s="11" t="s">
        <v>378</v>
      </c>
      <c r="H21" s="12" t="s">
        <v>439</v>
      </c>
    </row>
    <row r="22" spans="1:8" ht="181.95" customHeight="1" x14ac:dyDescent="0.3">
      <c r="A22" s="22">
        <v>119</v>
      </c>
      <c r="B22" s="23" t="s">
        <v>38</v>
      </c>
      <c r="C22" s="24" t="s">
        <v>47</v>
      </c>
      <c r="D22" s="23" t="s">
        <v>8</v>
      </c>
      <c r="E22" s="19" t="s">
        <v>23</v>
      </c>
      <c r="F22" s="22" t="s">
        <v>394</v>
      </c>
      <c r="G22" s="20" t="s">
        <v>371</v>
      </c>
      <c r="H22" s="21" t="s">
        <v>440</v>
      </c>
    </row>
    <row r="23" spans="1:8" ht="181.95" customHeight="1" x14ac:dyDescent="0.3">
      <c r="A23" s="16">
        <v>120</v>
      </c>
      <c r="B23" s="17" t="s">
        <v>48</v>
      </c>
      <c r="C23" s="18" t="s">
        <v>49</v>
      </c>
      <c r="D23" s="17" t="s">
        <v>12</v>
      </c>
      <c r="E23" s="19" t="s">
        <v>23</v>
      </c>
      <c r="F23" s="16" t="s">
        <v>393</v>
      </c>
      <c r="G23" s="20" t="s">
        <v>371</v>
      </c>
      <c r="H23" s="21" t="s">
        <v>441</v>
      </c>
    </row>
    <row r="24" spans="1:8" ht="208.05" customHeight="1" x14ac:dyDescent="0.3">
      <c r="A24" s="7">
        <v>121</v>
      </c>
      <c r="B24" s="8" t="s">
        <v>50</v>
      </c>
      <c r="C24" s="9" t="s">
        <v>51</v>
      </c>
      <c r="D24" s="8" t="s">
        <v>20</v>
      </c>
      <c r="E24" s="10" t="s">
        <v>9</v>
      </c>
      <c r="F24" s="7" t="s">
        <v>392</v>
      </c>
      <c r="G24" s="11" t="s">
        <v>378</v>
      </c>
      <c r="H24" s="12" t="s">
        <v>442</v>
      </c>
    </row>
    <row r="25" spans="1:8" ht="181.95" customHeight="1" x14ac:dyDescent="0.3">
      <c r="A25" s="16">
        <v>122</v>
      </c>
      <c r="B25" s="17" t="s">
        <v>52</v>
      </c>
      <c r="C25" s="18" t="s">
        <v>53</v>
      </c>
      <c r="D25" s="17" t="s">
        <v>12</v>
      </c>
      <c r="E25" s="19" t="s">
        <v>23</v>
      </c>
      <c r="F25" s="16" t="s">
        <v>391</v>
      </c>
      <c r="G25" s="20" t="s">
        <v>371</v>
      </c>
      <c r="H25" s="21" t="s">
        <v>443</v>
      </c>
    </row>
    <row r="26" spans="1:8" ht="181.95" customHeight="1" x14ac:dyDescent="0.3">
      <c r="A26" s="22">
        <v>123</v>
      </c>
      <c r="B26" s="23" t="s">
        <v>54</v>
      </c>
      <c r="C26" s="24" t="s">
        <v>55</v>
      </c>
      <c r="D26" s="23" t="s">
        <v>8</v>
      </c>
      <c r="E26" s="19" t="s">
        <v>23</v>
      </c>
      <c r="F26" s="22" t="s">
        <v>390</v>
      </c>
      <c r="G26" s="20" t="s">
        <v>371</v>
      </c>
      <c r="H26" s="21" t="s">
        <v>444</v>
      </c>
    </row>
    <row r="27" spans="1:8" ht="208.05" customHeight="1" x14ac:dyDescent="0.3">
      <c r="A27" s="13">
        <v>124</v>
      </c>
      <c r="B27" s="14" t="s">
        <v>38</v>
      </c>
      <c r="C27" s="15" t="s">
        <v>56</v>
      </c>
      <c r="D27" s="14" t="s">
        <v>8</v>
      </c>
      <c r="E27" s="10" t="s">
        <v>9</v>
      </c>
      <c r="F27" s="13" t="s">
        <v>389</v>
      </c>
      <c r="G27" s="11" t="s">
        <v>378</v>
      </c>
      <c r="H27" s="12" t="s">
        <v>445</v>
      </c>
    </row>
    <row r="28" spans="1:8" ht="208.05" customHeight="1" x14ac:dyDescent="0.3">
      <c r="A28" s="7">
        <v>125</v>
      </c>
      <c r="B28" s="8" t="s">
        <v>57</v>
      </c>
      <c r="C28" s="9" t="s">
        <v>58</v>
      </c>
      <c r="D28" s="8" t="s">
        <v>12</v>
      </c>
      <c r="E28" s="10" t="s">
        <v>9</v>
      </c>
      <c r="F28" s="7" t="s">
        <v>388</v>
      </c>
      <c r="G28" s="11" t="s">
        <v>378</v>
      </c>
      <c r="H28" s="12" t="s">
        <v>446</v>
      </c>
    </row>
    <row r="29" spans="1:8" ht="208.05" customHeight="1" x14ac:dyDescent="0.3">
      <c r="A29" s="13">
        <v>126</v>
      </c>
      <c r="B29" s="14" t="s">
        <v>52</v>
      </c>
      <c r="C29" s="15" t="s">
        <v>59</v>
      </c>
      <c r="D29" s="14" t="s">
        <v>12</v>
      </c>
      <c r="E29" s="10" t="s">
        <v>9</v>
      </c>
      <c r="F29" s="13" t="s">
        <v>387</v>
      </c>
      <c r="G29" s="11" t="s">
        <v>378</v>
      </c>
      <c r="H29" s="12" t="s">
        <v>447</v>
      </c>
    </row>
    <row r="30" spans="1:8" ht="181.95" customHeight="1" x14ac:dyDescent="0.3">
      <c r="A30" s="22">
        <v>127</v>
      </c>
      <c r="B30" s="23" t="s">
        <v>16</v>
      </c>
      <c r="C30" s="24" t="s">
        <v>60</v>
      </c>
      <c r="D30" s="23" t="s">
        <v>12</v>
      </c>
      <c r="E30" s="19" t="s">
        <v>23</v>
      </c>
      <c r="F30" s="22" t="s">
        <v>386</v>
      </c>
      <c r="G30" s="20" t="s">
        <v>371</v>
      </c>
      <c r="H30" s="21" t="s">
        <v>448</v>
      </c>
    </row>
    <row r="31" spans="1:8" ht="181.95" customHeight="1" x14ac:dyDescent="0.3">
      <c r="A31" s="16">
        <v>128</v>
      </c>
      <c r="B31" s="17" t="s">
        <v>21</v>
      </c>
      <c r="C31" s="18" t="s">
        <v>61</v>
      </c>
      <c r="D31" s="17" t="s">
        <v>15</v>
      </c>
      <c r="E31" s="19" t="s">
        <v>23</v>
      </c>
      <c r="F31" s="16" t="s">
        <v>385</v>
      </c>
      <c r="G31" s="20" t="s">
        <v>371</v>
      </c>
      <c r="H31" s="21" t="s">
        <v>449</v>
      </c>
    </row>
    <row r="32" spans="1:8" ht="208.05" customHeight="1" x14ac:dyDescent="0.3">
      <c r="A32" s="7">
        <v>129</v>
      </c>
      <c r="B32" s="8" t="s">
        <v>62</v>
      </c>
      <c r="C32" s="9" t="s">
        <v>63</v>
      </c>
      <c r="D32" s="8" t="s">
        <v>20</v>
      </c>
      <c r="E32" s="10" t="s">
        <v>9</v>
      </c>
      <c r="F32" s="7" t="s">
        <v>384</v>
      </c>
      <c r="G32" s="11" t="s">
        <v>378</v>
      </c>
      <c r="H32" s="12" t="s">
        <v>450</v>
      </c>
    </row>
    <row r="33" spans="1:8" ht="181.95" customHeight="1" x14ac:dyDescent="0.3">
      <c r="A33" s="16">
        <v>130</v>
      </c>
      <c r="B33" s="17" t="s">
        <v>32</v>
      </c>
      <c r="C33" s="18" t="s">
        <v>64</v>
      </c>
      <c r="D33" s="17" t="s">
        <v>20</v>
      </c>
      <c r="E33" s="19" t="s">
        <v>23</v>
      </c>
      <c r="F33" s="16" t="s">
        <v>383</v>
      </c>
      <c r="G33" s="20" t="s">
        <v>371</v>
      </c>
      <c r="H33" s="21" t="s">
        <v>451</v>
      </c>
    </row>
    <row r="34" spans="1:8" ht="181.95" customHeight="1" x14ac:dyDescent="0.3">
      <c r="A34" s="22">
        <v>131</v>
      </c>
      <c r="B34" s="23" t="s">
        <v>10</v>
      </c>
      <c r="C34" s="24" t="s">
        <v>65</v>
      </c>
      <c r="D34" s="23" t="s">
        <v>8</v>
      </c>
      <c r="E34" s="19" t="s">
        <v>23</v>
      </c>
      <c r="F34" s="22" t="s">
        <v>382</v>
      </c>
      <c r="G34" s="20" t="s">
        <v>371</v>
      </c>
      <c r="H34" s="21" t="s">
        <v>452</v>
      </c>
    </row>
    <row r="35" spans="1:8" ht="208.05" customHeight="1" x14ac:dyDescent="0.3">
      <c r="A35" s="13">
        <v>132</v>
      </c>
      <c r="B35" s="14" t="s">
        <v>66</v>
      </c>
      <c r="C35" s="15" t="s">
        <v>67</v>
      </c>
      <c r="D35" s="14" t="s">
        <v>12</v>
      </c>
      <c r="E35" s="10" t="s">
        <v>9</v>
      </c>
      <c r="F35" s="13" t="s">
        <v>381</v>
      </c>
      <c r="G35" s="11" t="s">
        <v>378</v>
      </c>
      <c r="H35" s="12" t="s">
        <v>453</v>
      </c>
    </row>
    <row r="36" spans="1:8" ht="208.05" customHeight="1" x14ac:dyDescent="0.3">
      <c r="A36" s="7">
        <v>133</v>
      </c>
      <c r="B36" s="8" t="s">
        <v>68</v>
      </c>
      <c r="C36" s="9" t="s">
        <v>69</v>
      </c>
      <c r="D36" s="8" t="s">
        <v>12</v>
      </c>
      <c r="E36" s="10" t="s">
        <v>9</v>
      </c>
      <c r="F36" s="7" t="s">
        <v>380</v>
      </c>
      <c r="G36" s="11" t="s">
        <v>378</v>
      </c>
      <c r="H36" s="12" t="s">
        <v>454</v>
      </c>
    </row>
    <row r="37" spans="1:8" ht="208.05" customHeight="1" x14ac:dyDescent="0.3">
      <c r="A37" s="13">
        <v>134</v>
      </c>
      <c r="B37" s="14" t="s">
        <v>45</v>
      </c>
      <c r="C37" s="15" t="s">
        <v>70</v>
      </c>
      <c r="D37" s="14" t="s">
        <v>12</v>
      </c>
      <c r="E37" s="10" t="s">
        <v>9</v>
      </c>
      <c r="F37" s="13" t="s">
        <v>379</v>
      </c>
      <c r="G37" s="11" t="s">
        <v>378</v>
      </c>
      <c r="H37" s="12" t="s">
        <v>455</v>
      </c>
    </row>
    <row r="38" spans="1:8" ht="181.95" customHeight="1" x14ac:dyDescent="0.3">
      <c r="A38" s="22">
        <v>135</v>
      </c>
      <c r="B38" s="23" t="s">
        <v>57</v>
      </c>
      <c r="C38" s="24" t="s">
        <v>71</v>
      </c>
      <c r="D38" s="23" t="s">
        <v>15</v>
      </c>
      <c r="E38" s="19" t="s">
        <v>23</v>
      </c>
      <c r="F38" s="22" t="s">
        <v>377</v>
      </c>
      <c r="G38" s="20" t="s">
        <v>371</v>
      </c>
      <c r="H38" s="21" t="s">
        <v>456</v>
      </c>
    </row>
    <row r="39" spans="1:8" ht="181.95" customHeight="1" x14ac:dyDescent="0.3">
      <c r="A39" s="16">
        <v>136</v>
      </c>
      <c r="B39" s="17" t="s">
        <v>72</v>
      </c>
      <c r="C39" s="18" t="s">
        <v>73</v>
      </c>
      <c r="D39" s="17" t="s">
        <v>8</v>
      </c>
      <c r="E39" s="19" t="s">
        <v>23</v>
      </c>
      <c r="F39" s="16" t="s">
        <v>376</v>
      </c>
      <c r="G39" s="20" t="s">
        <v>371</v>
      </c>
      <c r="H39" s="21" t="s">
        <v>457</v>
      </c>
    </row>
    <row r="40" spans="1:8" ht="181.95" customHeight="1" x14ac:dyDescent="0.3">
      <c r="A40" s="22">
        <v>137</v>
      </c>
      <c r="B40" s="23" t="s">
        <v>74</v>
      </c>
      <c r="C40" s="24" t="s">
        <v>75</v>
      </c>
      <c r="D40" s="23" t="s">
        <v>8</v>
      </c>
      <c r="E40" s="19" t="s">
        <v>23</v>
      </c>
      <c r="F40" s="22" t="s">
        <v>375</v>
      </c>
      <c r="G40" s="20" t="s">
        <v>371</v>
      </c>
      <c r="H40" s="21" t="s">
        <v>458</v>
      </c>
    </row>
    <row r="41" spans="1:8" ht="181.95" customHeight="1" x14ac:dyDescent="0.3">
      <c r="A41" s="16">
        <v>138</v>
      </c>
      <c r="B41" s="17" t="s">
        <v>76</v>
      </c>
      <c r="C41" s="18" t="s">
        <v>77</v>
      </c>
      <c r="D41" s="17" t="s">
        <v>15</v>
      </c>
      <c r="E41" s="19" t="s">
        <v>23</v>
      </c>
      <c r="F41" s="16" t="s">
        <v>374</v>
      </c>
      <c r="G41" s="20" t="s">
        <v>371</v>
      </c>
      <c r="H41" s="21" t="s">
        <v>459</v>
      </c>
    </row>
    <row r="42" spans="1:8" ht="181.95" customHeight="1" x14ac:dyDescent="0.3">
      <c r="A42" s="22">
        <v>139</v>
      </c>
      <c r="B42" s="23" t="s">
        <v>48</v>
      </c>
      <c r="C42" s="24" t="s">
        <v>78</v>
      </c>
      <c r="D42" s="23" t="s">
        <v>12</v>
      </c>
      <c r="E42" s="19" t="s">
        <v>23</v>
      </c>
      <c r="F42" s="22" t="s">
        <v>373</v>
      </c>
      <c r="G42" s="20" t="s">
        <v>371</v>
      </c>
      <c r="H42" s="21" t="s">
        <v>460</v>
      </c>
    </row>
    <row r="43" spans="1:8" ht="181.95" customHeight="1" x14ac:dyDescent="0.3">
      <c r="A43" s="16">
        <v>140</v>
      </c>
      <c r="B43" s="17" t="s">
        <v>40</v>
      </c>
      <c r="C43" s="18" t="s">
        <v>79</v>
      </c>
      <c r="D43" s="17" t="s">
        <v>20</v>
      </c>
      <c r="E43" s="19" t="s">
        <v>23</v>
      </c>
      <c r="F43" s="16" t="s">
        <v>372</v>
      </c>
      <c r="G43" s="20" t="s">
        <v>371</v>
      </c>
      <c r="H43" s="21" t="s">
        <v>461</v>
      </c>
    </row>
    <row r="45" spans="1:8" ht="18" customHeight="1" x14ac:dyDescent="0.3">
      <c r="A45" s="713" t="s">
        <v>462</v>
      </c>
      <c r="B45" s="708"/>
      <c r="C45" s="708"/>
      <c r="D45" s="708"/>
      <c r="E45" s="708"/>
      <c r="F45" s="708"/>
      <c r="G45" s="708"/>
      <c r="H45" s="708"/>
    </row>
  </sheetData>
  <autoFilter ref="A3:H3" xr:uid="{00000000-0009-0000-0000-000000000000}"/>
  <mergeCells count="3">
    <mergeCell ref="A1:H1"/>
    <mergeCell ref="A2:H2"/>
    <mergeCell ref="A45:H45"/>
  </mergeCells>
  <conditionalFormatting sqref="A4:H43">
    <cfRule type="expression" dxfId="22" priority="3">
      <formula>$E4="Pending"</formula>
    </cfRule>
    <cfRule type="expression" dxfId="21" priority="4">
      <formula>$E4="Paid"</formula>
    </cfRule>
  </conditionalFormatting>
  <conditionalFormatting sqref="E4:E43">
    <cfRule type="cellIs" dxfId="20" priority="1" stopIfTrue="1" operator="equal">
      <formula>"Pending"</formula>
    </cfRule>
    <cfRule type="cellIs" dxfId="19" priority="2" stopIfTrue="1" operator="equal">
      <formula>"Paid"</formula>
    </cfRule>
  </conditionalFormatting>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7CBDC-C818-4329-8E1E-CCB081ED4D7E}">
  <sheetPr>
    <tabColor theme="5" tint="0.79998168889431442"/>
  </sheetPr>
  <dimension ref="A1:H45"/>
  <sheetViews>
    <sheetView workbookViewId="0">
      <pane ySplit="3" topLeftCell="A4" activePane="bottomLeft" state="frozen"/>
      <selection pane="bottomLeft" activeCell="A4" sqref="A4"/>
    </sheetView>
  </sheetViews>
  <sheetFormatPr defaultRowHeight="14.4" x14ac:dyDescent="0.3"/>
  <cols>
    <col min="1" max="1" width="10" customWidth="1"/>
    <col min="2" max="2" width="20" customWidth="1"/>
    <col min="3" max="3" width="26" customWidth="1"/>
    <col min="4" max="4" width="18" customWidth="1"/>
    <col min="5" max="5" width="14" customWidth="1"/>
    <col min="6" max="6" width="18" customWidth="1"/>
    <col min="7" max="7" width="26" customWidth="1"/>
    <col min="8" max="8" width="72" customWidth="1"/>
  </cols>
  <sheetData>
    <row r="1" spans="1:8" ht="31.95" customHeight="1" x14ac:dyDescent="0.3">
      <c r="A1" s="711" t="s">
        <v>463</v>
      </c>
      <c r="B1" s="708"/>
      <c r="C1" s="708"/>
      <c r="D1" s="708"/>
      <c r="E1" s="708"/>
      <c r="F1" s="708"/>
      <c r="G1" s="708"/>
      <c r="H1" s="708"/>
    </row>
    <row r="2" spans="1:8" ht="19.95" customHeight="1" x14ac:dyDescent="0.3">
      <c r="A2" s="712" t="s">
        <v>464</v>
      </c>
      <c r="B2" s="708"/>
      <c r="C2" s="708"/>
      <c r="D2" s="708"/>
      <c r="E2" s="708"/>
      <c r="F2" s="708"/>
      <c r="G2" s="708"/>
      <c r="H2" s="708"/>
    </row>
    <row r="3" spans="1:8" ht="22.05" customHeight="1" x14ac:dyDescent="0.3">
      <c r="A3" s="6" t="s">
        <v>415</v>
      </c>
      <c r="B3" s="6" t="s">
        <v>416</v>
      </c>
      <c r="C3" s="6" t="s">
        <v>417</v>
      </c>
      <c r="D3" s="6" t="s">
        <v>3</v>
      </c>
      <c r="E3" s="6" t="s">
        <v>418</v>
      </c>
      <c r="F3" s="6" t="s">
        <v>419</v>
      </c>
      <c r="G3" s="6" t="s">
        <v>465</v>
      </c>
      <c r="H3" s="6" t="s">
        <v>466</v>
      </c>
    </row>
    <row r="4" spans="1:8" ht="18" customHeight="1" x14ac:dyDescent="0.3">
      <c r="A4" s="25">
        <v>101</v>
      </c>
      <c r="B4" s="26" t="s">
        <v>6</v>
      </c>
      <c r="C4" s="27" t="s">
        <v>7</v>
      </c>
      <c r="D4" s="26" t="s">
        <v>8</v>
      </c>
      <c r="E4" s="28" t="s">
        <v>9</v>
      </c>
      <c r="F4" s="25" t="s">
        <v>412</v>
      </c>
      <c r="G4" s="29" t="s">
        <v>467</v>
      </c>
      <c r="H4" s="30"/>
    </row>
    <row r="5" spans="1:8" ht="18" customHeight="1" x14ac:dyDescent="0.3">
      <c r="A5" s="31">
        <v>102</v>
      </c>
      <c r="B5" s="32" t="s">
        <v>10</v>
      </c>
      <c r="C5" s="33" t="s">
        <v>11</v>
      </c>
      <c r="D5" s="32" t="s">
        <v>12</v>
      </c>
      <c r="E5" s="28" t="s">
        <v>9</v>
      </c>
      <c r="F5" s="31" t="s">
        <v>411</v>
      </c>
      <c r="G5" s="34" t="s">
        <v>467</v>
      </c>
      <c r="H5" s="35"/>
    </row>
    <row r="6" spans="1:8" ht="18" customHeight="1" x14ac:dyDescent="0.3">
      <c r="A6" s="25">
        <v>103</v>
      </c>
      <c r="B6" s="26" t="s">
        <v>13</v>
      </c>
      <c r="C6" s="27" t="s">
        <v>14</v>
      </c>
      <c r="D6" s="26" t="s">
        <v>15</v>
      </c>
      <c r="E6" s="28" t="s">
        <v>9</v>
      </c>
      <c r="F6" s="25" t="s">
        <v>410</v>
      </c>
      <c r="G6" s="29" t="s">
        <v>467</v>
      </c>
      <c r="H6" s="30"/>
    </row>
    <row r="7" spans="1:8" ht="18" customHeight="1" x14ac:dyDescent="0.3">
      <c r="A7" s="31">
        <v>104</v>
      </c>
      <c r="B7" s="32" t="s">
        <v>16</v>
      </c>
      <c r="C7" s="33" t="s">
        <v>17</v>
      </c>
      <c r="D7" s="32" t="s">
        <v>8</v>
      </c>
      <c r="E7" s="28" t="s">
        <v>9</v>
      </c>
      <c r="F7" s="31" t="s">
        <v>409</v>
      </c>
      <c r="G7" s="34" t="s">
        <v>467</v>
      </c>
      <c r="H7" s="35"/>
    </row>
    <row r="8" spans="1:8" ht="273" customHeight="1" x14ac:dyDescent="0.3">
      <c r="A8" s="7">
        <v>105</v>
      </c>
      <c r="B8" s="8" t="s">
        <v>18</v>
      </c>
      <c r="C8" s="9" t="s">
        <v>19</v>
      </c>
      <c r="D8" s="36" t="s">
        <v>20</v>
      </c>
      <c r="E8" s="10" t="s">
        <v>9</v>
      </c>
      <c r="F8" s="7" t="s">
        <v>408</v>
      </c>
      <c r="G8" s="11" t="s">
        <v>468</v>
      </c>
      <c r="H8" s="37" t="s">
        <v>469</v>
      </c>
    </row>
    <row r="9" spans="1:8" ht="18" customHeight="1" x14ac:dyDescent="0.3">
      <c r="A9" s="31">
        <v>106</v>
      </c>
      <c r="B9" s="32" t="s">
        <v>21</v>
      </c>
      <c r="C9" s="33" t="s">
        <v>22</v>
      </c>
      <c r="D9" s="32" t="s">
        <v>15</v>
      </c>
      <c r="E9" s="38" t="s">
        <v>23</v>
      </c>
      <c r="F9" s="31" t="s">
        <v>407</v>
      </c>
      <c r="G9" s="34" t="s">
        <v>467</v>
      </c>
      <c r="H9" s="35"/>
    </row>
    <row r="10" spans="1:8" ht="18" customHeight="1" x14ac:dyDescent="0.3">
      <c r="A10" s="25">
        <v>107</v>
      </c>
      <c r="B10" s="26" t="s">
        <v>24</v>
      </c>
      <c r="C10" s="27" t="s">
        <v>25</v>
      </c>
      <c r="D10" s="26" t="s">
        <v>8</v>
      </c>
      <c r="E10" s="38" t="s">
        <v>23</v>
      </c>
      <c r="F10" s="25" t="s">
        <v>406</v>
      </c>
      <c r="G10" s="29" t="s">
        <v>467</v>
      </c>
      <c r="H10" s="30"/>
    </row>
    <row r="11" spans="1:8" ht="18" customHeight="1" x14ac:dyDescent="0.3">
      <c r="A11" s="31">
        <v>108</v>
      </c>
      <c r="B11" s="32" t="s">
        <v>26</v>
      </c>
      <c r="C11" s="33" t="s">
        <v>27</v>
      </c>
      <c r="D11" s="32" t="s">
        <v>15</v>
      </c>
      <c r="E11" s="28" t="s">
        <v>9</v>
      </c>
      <c r="F11" s="31" t="s">
        <v>405</v>
      </c>
      <c r="G11" s="34" t="s">
        <v>467</v>
      </c>
      <c r="H11" s="35"/>
    </row>
    <row r="12" spans="1:8" ht="18" customHeight="1" x14ac:dyDescent="0.3">
      <c r="A12" s="25">
        <v>109</v>
      </c>
      <c r="B12" s="26" t="s">
        <v>28</v>
      </c>
      <c r="C12" s="27" t="s">
        <v>29</v>
      </c>
      <c r="D12" s="26" t="s">
        <v>12</v>
      </c>
      <c r="E12" s="28" t="s">
        <v>9</v>
      </c>
      <c r="F12" s="25" t="s">
        <v>404</v>
      </c>
      <c r="G12" s="29" t="s">
        <v>467</v>
      </c>
      <c r="H12" s="30"/>
    </row>
    <row r="13" spans="1:8" ht="273" customHeight="1" x14ac:dyDescent="0.3">
      <c r="A13" s="13">
        <v>110</v>
      </c>
      <c r="B13" s="14" t="s">
        <v>30</v>
      </c>
      <c r="C13" s="15" t="s">
        <v>31</v>
      </c>
      <c r="D13" s="39" t="s">
        <v>20</v>
      </c>
      <c r="E13" s="10" t="s">
        <v>9</v>
      </c>
      <c r="F13" s="13" t="s">
        <v>403</v>
      </c>
      <c r="G13" s="11" t="s">
        <v>468</v>
      </c>
      <c r="H13" s="37" t="s">
        <v>470</v>
      </c>
    </row>
    <row r="14" spans="1:8" ht="18" customHeight="1" x14ac:dyDescent="0.3">
      <c r="A14" s="25">
        <v>111</v>
      </c>
      <c r="B14" s="26" t="s">
        <v>32</v>
      </c>
      <c r="C14" s="27" t="s">
        <v>33</v>
      </c>
      <c r="D14" s="26" t="s">
        <v>8</v>
      </c>
      <c r="E14" s="38" t="s">
        <v>23</v>
      </c>
      <c r="F14" s="25" t="s">
        <v>402</v>
      </c>
      <c r="G14" s="29" t="s">
        <v>467</v>
      </c>
      <c r="H14" s="30"/>
    </row>
    <row r="15" spans="1:8" ht="18" customHeight="1" x14ac:dyDescent="0.3">
      <c r="A15" s="31">
        <v>112</v>
      </c>
      <c r="B15" s="32" t="s">
        <v>34</v>
      </c>
      <c r="C15" s="33" t="s">
        <v>35</v>
      </c>
      <c r="D15" s="32" t="s">
        <v>12</v>
      </c>
      <c r="E15" s="38" t="s">
        <v>23</v>
      </c>
      <c r="F15" s="31" t="s">
        <v>401</v>
      </c>
      <c r="G15" s="34" t="s">
        <v>467</v>
      </c>
      <c r="H15" s="35"/>
    </row>
    <row r="16" spans="1:8" ht="273" customHeight="1" x14ac:dyDescent="0.3">
      <c r="A16" s="7">
        <v>113</v>
      </c>
      <c r="B16" s="8" t="s">
        <v>36</v>
      </c>
      <c r="C16" s="9" t="s">
        <v>37</v>
      </c>
      <c r="D16" s="36" t="s">
        <v>20</v>
      </c>
      <c r="E16" s="10" t="s">
        <v>9</v>
      </c>
      <c r="F16" s="7" t="s">
        <v>400</v>
      </c>
      <c r="G16" s="11" t="s">
        <v>468</v>
      </c>
      <c r="H16" s="37" t="s">
        <v>471</v>
      </c>
    </row>
    <row r="17" spans="1:8" ht="18" customHeight="1" x14ac:dyDescent="0.3">
      <c r="A17" s="31">
        <v>114</v>
      </c>
      <c r="B17" s="32" t="s">
        <v>38</v>
      </c>
      <c r="C17" s="33" t="s">
        <v>39</v>
      </c>
      <c r="D17" s="32" t="s">
        <v>12</v>
      </c>
      <c r="E17" s="38" t="s">
        <v>23</v>
      </c>
      <c r="F17" s="31" t="s">
        <v>399</v>
      </c>
      <c r="G17" s="34" t="s">
        <v>467</v>
      </c>
      <c r="H17" s="35"/>
    </row>
    <row r="18" spans="1:8" ht="18" customHeight="1" x14ac:dyDescent="0.3">
      <c r="A18" s="25">
        <v>115</v>
      </c>
      <c r="B18" s="26" t="s">
        <v>40</v>
      </c>
      <c r="C18" s="27" t="s">
        <v>41</v>
      </c>
      <c r="D18" s="26" t="s">
        <v>12</v>
      </c>
      <c r="E18" s="28" t="s">
        <v>9</v>
      </c>
      <c r="F18" s="25" t="s">
        <v>398</v>
      </c>
      <c r="G18" s="29" t="s">
        <v>467</v>
      </c>
      <c r="H18" s="30"/>
    </row>
    <row r="19" spans="1:8" ht="18" customHeight="1" x14ac:dyDescent="0.3">
      <c r="A19" s="31">
        <v>116</v>
      </c>
      <c r="B19" s="32" t="s">
        <v>36</v>
      </c>
      <c r="C19" s="33" t="s">
        <v>42</v>
      </c>
      <c r="D19" s="32" t="s">
        <v>15</v>
      </c>
      <c r="E19" s="28" t="s">
        <v>9</v>
      </c>
      <c r="F19" s="31" t="s">
        <v>397</v>
      </c>
      <c r="G19" s="34" t="s">
        <v>467</v>
      </c>
      <c r="H19" s="35"/>
    </row>
    <row r="20" spans="1:8" ht="273" customHeight="1" x14ac:dyDescent="0.3">
      <c r="A20" s="22">
        <v>117</v>
      </c>
      <c r="B20" s="23" t="s">
        <v>43</v>
      </c>
      <c r="C20" s="24" t="s">
        <v>44</v>
      </c>
      <c r="D20" s="40" t="s">
        <v>20</v>
      </c>
      <c r="E20" s="19" t="s">
        <v>23</v>
      </c>
      <c r="F20" s="22" t="s">
        <v>396</v>
      </c>
      <c r="G20" s="20" t="s">
        <v>472</v>
      </c>
      <c r="H20" s="41" t="s">
        <v>473</v>
      </c>
    </row>
    <row r="21" spans="1:8" ht="18" customHeight="1" x14ac:dyDescent="0.3">
      <c r="A21" s="31">
        <v>118</v>
      </c>
      <c r="B21" s="32" t="s">
        <v>45</v>
      </c>
      <c r="C21" s="33" t="s">
        <v>46</v>
      </c>
      <c r="D21" s="32" t="s">
        <v>8</v>
      </c>
      <c r="E21" s="28" t="s">
        <v>9</v>
      </c>
      <c r="F21" s="31" t="s">
        <v>395</v>
      </c>
      <c r="G21" s="34" t="s">
        <v>467</v>
      </c>
      <c r="H21" s="35"/>
    </row>
    <row r="22" spans="1:8" ht="18" customHeight="1" x14ac:dyDescent="0.3">
      <c r="A22" s="25">
        <v>119</v>
      </c>
      <c r="B22" s="26" t="s">
        <v>38</v>
      </c>
      <c r="C22" s="27" t="s">
        <v>47</v>
      </c>
      <c r="D22" s="26" t="s">
        <v>8</v>
      </c>
      <c r="E22" s="38" t="s">
        <v>23</v>
      </c>
      <c r="F22" s="25" t="s">
        <v>394</v>
      </c>
      <c r="G22" s="29" t="s">
        <v>467</v>
      </c>
      <c r="H22" s="30"/>
    </row>
    <row r="23" spans="1:8" ht="18" customHeight="1" x14ac:dyDescent="0.3">
      <c r="A23" s="31">
        <v>120</v>
      </c>
      <c r="B23" s="32" t="s">
        <v>48</v>
      </c>
      <c r="C23" s="33" t="s">
        <v>49</v>
      </c>
      <c r="D23" s="32" t="s">
        <v>12</v>
      </c>
      <c r="E23" s="38" t="s">
        <v>23</v>
      </c>
      <c r="F23" s="31" t="s">
        <v>393</v>
      </c>
      <c r="G23" s="34" t="s">
        <v>467</v>
      </c>
      <c r="H23" s="35"/>
    </row>
    <row r="24" spans="1:8" ht="273" customHeight="1" x14ac:dyDescent="0.3">
      <c r="A24" s="7">
        <v>121</v>
      </c>
      <c r="B24" s="8" t="s">
        <v>50</v>
      </c>
      <c r="C24" s="9" t="s">
        <v>51</v>
      </c>
      <c r="D24" s="36" t="s">
        <v>20</v>
      </c>
      <c r="E24" s="10" t="s">
        <v>9</v>
      </c>
      <c r="F24" s="7" t="s">
        <v>392</v>
      </c>
      <c r="G24" s="11" t="s">
        <v>468</v>
      </c>
      <c r="H24" s="37" t="s">
        <v>474</v>
      </c>
    </row>
    <row r="25" spans="1:8" ht="18" customHeight="1" x14ac:dyDescent="0.3">
      <c r="A25" s="31">
        <v>122</v>
      </c>
      <c r="B25" s="32" t="s">
        <v>52</v>
      </c>
      <c r="C25" s="33" t="s">
        <v>53</v>
      </c>
      <c r="D25" s="32" t="s">
        <v>12</v>
      </c>
      <c r="E25" s="38" t="s">
        <v>23</v>
      </c>
      <c r="F25" s="31" t="s">
        <v>391</v>
      </c>
      <c r="G25" s="34" t="s">
        <v>467</v>
      </c>
      <c r="H25" s="35"/>
    </row>
    <row r="26" spans="1:8" ht="18" customHeight="1" x14ac:dyDescent="0.3">
      <c r="A26" s="25">
        <v>123</v>
      </c>
      <c r="B26" s="26" t="s">
        <v>54</v>
      </c>
      <c r="C26" s="27" t="s">
        <v>55</v>
      </c>
      <c r="D26" s="26" t="s">
        <v>8</v>
      </c>
      <c r="E26" s="38" t="s">
        <v>23</v>
      </c>
      <c r="F26" s="25" t="s">
        <v>390</v>
      </c>
      <c r="G26" s="29" t="s">
        <v>467</v>
      </c>
      <c r="H26" s="30"/>
    </row>
    <row r="27" spans="1:8" ht="18" customHeight="1" x14ac:dyDescent="0.3">
      <c r="A27" s="31">
        <v>124</v>
      </c>
      <c r="B27" s="32" t="s">
        <v>38</v>
      </c>
      <c r="C27" s="33" t="s">
        <v>56</v>
      </c>
      <c r="D27" s="32" t="s">
        <v>8</v>
      </c>
      <c r="E27" s="28" t="s">
        <v>9</v>
      </c>
      <c r="F27" s="31" t="s">
        <v>389</v>
      </c>
      <c r="G27" s="34" t="s">
        <v>467</v>
      </c>
      <c r="H27" s="35"/>
    </row>
    <row r="28" spans="1:8" ht="18" customHeight="1" x14ac:dyDescent="0.3">
      <c r="A28" s="25">
        <v>125</v>
      </c>
      <c r="B28" s="26" t="s">
        <v>57</v>
      </c>
      <c r="C28" s="27" t="s">
        <v>58</v>
      </c>
      <c r="D28" s="26" t="s">
        <v>12</v>
      </c>
      <c r="E28" s="28" t="s">
        <v>9</v>
      </c>
      <c r="F28" s="25" t="s">
        <v>388</v>
      </c>
      <c r="G28" s="29" t="s">
        <v>467</v>
      </c>
      <c r="H28" s="30"/>
    </row>
    <row r="29" spans="1:8" ht="18" customHeight="1" x14ac:dyDescent="0.3">
      <c r="A29" s="31">
        <v>126</v>
      </c>
      <c r="B29" s="32" t="s">
        <v>52</v>
      </c>
      <c r="C29" s="33" t="s">
        <v>59</v>
      </c>
      <c r="D29" s="32" t="s">
        <v>12</v>
      </c>
      <c r="E29" s="28" t="s">
        <v>9</v>
      </c>
      <c r="F29" s="31" t="s">
        <v>387</v>
      </c>
      <c r="G29" s="34" t="s">
        <v>467</v>
      </c>
      <c r="H29" s="35"/>
    </row>
    <row r="30" spans="1:8" ht="18" customHeight="1" x14ac:dyDescent="0.3">
      <c r="A30" s="25">
        <v>127</v>
      </c>
      <c r="B30" s="26" t="s">
        <v>16</v>
      </c>
      <c r="C30" s="27" t="s">
        <v>60</v>
      </c>
      <c r="D30" s="26" t="s">
        <v>12</v>
      </c>
      <c r="E30" s="38" t="s">
        <v>23</v>
      </c>
      <c r="F30" s="25" t="s">
        <v>386</v>
      </c>
      <c r="G30" s="29" t="s">
        <v>467</v>
      </c>
      <c r="H30" s="30"/>
    </row>
    <row r="31" spans="1:8" ht="18" customHeight="1" x14ac:dyDescent="0.3">
      <c r="A31" s="31">
        <v>128</v>
      </c>
      <c r="B31" s="32" t="s">
        <v>21</v>
      </c>
      <c r="C31" s="33" t="s">
        <v>61</v>
      </c>
      <c r="D31" s="32" t="s">
        <v>15</v>
      </c>
      <c r="E31" s="38" t="s">
        <v>23</v>
      </c>
      <c r="F31" s="31" t="s">
        <v>385</v>
      </c>
      <c r="G31" s="34" t="s">
        <v>467</v>
      </c>
      <c r="H31" s="35"/>
    </row>
    <row r="32" spans="1:8" ht="273" customHeight="1" x14ac:dyDescent="0.3">
      <c r="A32" s="7">
        <v>129</v>
      </c>
      <c r="B32" s="8" t="s">
        <v>62</v>
      </c>
      <c r="C32" s="9" t="s">
        <v>63</v>
      </c>
      <c r="D32" s="36" t="s">
        <v>20</v>
      </c>
      <c r="E32" s="10" t="s">
        <v>9</v>
      </c>
      <c r="F32" s="7" t="s">
        <v>384</v>
      </c>
      <c r="G32" s="11" t="s">
        <v>468</v>
      </c>
      <c r="H32" s="37" t="s">
        <v>475</v>
      </c>
    </row>
    <row r="33" spans="1:8" ht="273" customHeight="1" x14ac:dyDescent="0.3">
      <c r="A33" s="16">
        <v>130</v>
      </c>
      <c r="B33" s="17" t="s">
        <v>32</v>
      </c>
      <c r="C33" s="18" t="s">
        <v>64</v>
      </c>
      <c r="D33" s="42" t="s">
        <v>20</v>
      </c>
      <c r="E33" s="19" t="s">
        <v>23</v>
      </c>
      <c r="F33" s="16" t="s">
        <v>383</v>
      </c>
      <c r="G33" s="20" t="s">
        <v>472</v>
      </c>
      <c r="H33" s="41" t="s">
        <v>476</v>
      </c>
    </row>
    <row r="34" spans="1:8" ht="18" customHeight="1" x14ac:dyDescent="0.3">
      <c r="A34" s="25">
        <v>131</v>
      </c>
      <c r="B34" s="26" t="s">
        <v>10</v>
      </c>
      <c r="C34" s="27" t="s">
        <v>65</v>
      </c>
      <c r="D34" s="26" t="s">
        <v>8</v>
      </c>
      <c r="E34" s="38" t="s">
        <v>23</v>
      </c>
      <c r="F34" s="25" t="s">
        <v>382</v>
      </c>
      <c r="G34" s="29" t="s">
        <v>467</v>
      </c>
      <c r="H34" s="30"/>
    </row>
    <row r="35" spans="1:8" ht="18" customHeight="1" x14ac:dyDescent="0.3">
      <c r="A35" s="31">
        <v>132</v>
      </c>
      <c r="B35" s="32" t="s">
        <v>66</v>
      </c>
      <c r="C35" s="33" t="s">
        <v>67</v>
      </c>
      <c r="D35" s="32" t="s">
        <v>12</v>
      </c>
      <c r="E35" s="28" t="s">
        <v>9</v>
      </c>
      <c r="F35" s="31" t="s">
        <v>381</v>
      </c>
      <c r="G35" s="34" t="s">
        <v>467</v>
      </c>
      <c r="H35" s="35"/>
    </row>
    <row r="36" spans="1:8" ht="18" customHeight="1" x14ac:dyDescent="0.3">
      <c r="A36" s="25">
        <v>133</v>
      </c>
      <c r="B36" s="26" t="s">
        <v>68</v>
      </c>
      <c r="C36" s="27" t="s">
        <v>69</v>
      </c>
      <c r="D36" s="26" t="s">
        <v>12</v>
      </c>
      <c r="E36" s="28" t="s">
        <v>9</v>
      </c>
      <c r="F36" s="25" t="s">
        <v>380</v>
      </c>
      <c r="G36" s="29" t="s">
        <v>467</v>
      </c>
      <c r="H36" s="30"/>
    </row>
    <row r="37" spans="1:8" ht="18" customHeight="1" x14ac:dyDescent="0.3">
      <c r="A37" s="31">
        <v>134</v>
      </c>
      <c r="B37" s="32" t="s">
        <v>45</v>
      </c>
      <c r="C37" s="33" t="s">
        <v>70</v>
      </c>
      <c r="D37" s="32" t="s">
        <v>12</v>
      </c>
      <c r="E37" s="28" t="s">
        <v>9</v>
      </c>
      <c r="F37" s="31" t="s">
        <v>379</v>
      </c>
      <c r="G37" s="34" t="s">
        <v>467</v>
      </c>
      <c r="H37" s="35"/>
    </row>
    <row r="38" spans="1:8" ht="18" customHeight="1" x14ac:dyDescent="0.3">
      <c r="A38" s="25">
        <v>135</v>
      </c>
      <c r="B38" s="26" t="s">
        <v>57</v>
      </c>
      <c r="C38" s="27" t="s">
        <v>71</v>
      </c>
      <c r="D38" s="26" t="s">
        <v>15</v>
      </c>
      <c r="E38" s="38" t="s">
        <v>23</v>
      </c>
      <c r="F38" s="25" t="s">
        <v>377</v>
      </c>
      <c r="G38" s="29" t="s">
        <v>467</v>
      </c>
      <c r="H38" s="30"/>
    </row>
    <row r="39" spans="1:8" ht="18" customHeight="1" x14ac:dyDescent="0.3">
      <c r="A39" s="31">
        <v>136</v>
      </c>
      <c r="B39" s="32" t="s">
        <v>72</v>
      </c>
      <c r="C39" s="33" t="s">
        <v>73</v>
      </c>
      <c r="D39" s="32" t="s">
        <v>8</v>
      </c>
      <c r="E39" s="38" t="s">
        <v>23</v>
      </c>
      <c r="F39" s="31" t="s">
        <v>376</v>
      </c>
      <c r="G39" s="34" t="s">
        <v>467</v>
      </c>
      <c r="H39" s="35"/>
    </row>
    <row r="40" spans="1:8" ht="18" customHeight="1" x14ac:dyDescent="0.3">
      <c r="A40" s="25">
        <v>137</v>
      </c>
      <c r="B40" s="26" t="s">
        <v>74</v>
      </c>
      <c r="C40" s="27" t="s">
        <v>75</v>
      </c>
      <c r="D40" s="26" t="s">
        <v>8</v>
      </c>
      <c r="E40" s="38" t="s">
        <v>23</v>
      </c>
      <c r="F40" s="25" t="s">
        <v>375</v>
      </c>
      <c r="G40" s="29" t="s">
        <v>467</v>
      </c>
      <c r="H40" s="30"/>
    </row>
    <row r="41" spans="1:8" ht="18" customHeight="1" x14ac:dyDescent="0.3">
      <c r="A41" s="31">
        <v>138</v>
      </c>
      <c r="B41" s="32" t="s">
        <v>76</v>
      </c>
      <c r="C41" s="33" t="s">
        <v>77</v>
      </c>
      <c r="D41" s="32" t="s">
        <v>15</v>
      </c>
      <c r="E41" s="38" t="s">
        <v>23</v>
      </c>
      <c r="F41" s="31" t="s">
        <v>374</v>
      </c>
      <c r="G41" s="34" t="s">
        <v>467</v>
      </c>
      <c r="H41" s="35"/>
    </row>
    <row r="42" spans="1:8" ht="18" customHeight="1" x14ac:dyDescent="0.3">
      <c r="A42" s="25">
        <v>139</v>
      </c>
      <c r="B42" s="26" t="s">
        <v>48</v>
      </c>
      <c r="C42" s="27" t="s">
        <v>78</v>
      </c>
      <c r="D42" s="26" t="s">
        <v>12</v>
      </c>
      <c r="E42" s="38" t="s">
        <v>23</v>
      </c>
      <c r="F42" s="25" t="s">
        <v>373</v>
      </c>
      <c r="G42" s="29" t="s">
        <v>467</v>
      </c>
      <c r="H42" s="30"/>
    </row>
    <row r="43" spans="1:8" ht="273" customHeight="1" x14ac:dyDescent="0.3">
      <c r="A43" s="16">
        <v>140</v>
      </c>
      <c r="B43" s="17" t="s">
        <v>40</v>
      </c>
      <c r="C43" s="18" t="s">
        <v>79</v>
      </c>
      <c r="D43" s="42" t="s">
        <v>20</v>
      </c>
      <c r="E43" s="19" t="s">
        <v>23</v>
      </c>
      <c r="F43" s="16" t="s">
        <v>372</v>
      </c>
      <c r="G43" s="20" t="s">
        <v>472</v>
      </c>
      <c r="H43" s="41" t="s">
        <v>477</v>
      </c>
    </row>
    <row r="45" spans="1:8" ht="18" customHeight="1" x14ac:dyDescent="0.3">
      <c r="A45" s="713" t="s">
        <v>478</v>
      </c>
      <c r="B45" s="708"/>
      <c r="C45" s="708"/>
      <c r="D45" s="708"/>
      <c r="E45" s="708"/>
      <c r="F45" s="708"/>
      <c r="G45" s="708"/>
      <c r="H45" s="708"/>
    </row>
  </sheetData>
  <autoFilter ref="A3:H3" xr:uid="{00000000-0009-0000-0000-000000000000}"/>
  <mergeCells count="3">
    <mergeCell ref="A1:H1"/>
    <mergeCell ref="A2:H2"/>
    <mergeCell ref="A45:H45"/>
  </mergeCells>
  <conditionalFormatting sqref="A4:H43">
    <cfRule type="expression" dxfId="18" priority="3">
      <formula>AND($D4="Advanced Excel",$E4="Pending")</formula>
    </cfRule>
    <cfRule type="expression" dxfId="17" priority="4">
      <formula>AND($D4="Advanced Excel",$E4="Paid")</formula>
    </cfRule>
    <cfRule type="expression" dxfId="16" priority="5">
      <formula>$D4&lt;&gt;"Advanced Excel"</formula>
    </cfRule>
  </conditionalFormatting>
  <conditionalFormatting sqref="E4:E43">
    <cfRule type="cellIs" dxfId="15" priority="1" stopIfTrue="1" operator="equal">
      <formula>"Pending"</formula>
    </cfRule>
    <cfRule type="cellIs" dxfId="14" priority="2" stopIfTrue="1" operator="equal">
      <formula>"Paid"</formula>
    </cfRule>
  </conditionalFormatting>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C45"/>
  <sheetViews>
    <sheetView workbookViewId="0"/>
  </sheetViews>
  <sheetFormatPr defaultRowHeight="14.4" x14ac:dyDescent="0.3"/>
  <cols>
    <col min="1" max="3" width="11.77734375" customWidth="1"/>
  </cols>
  <sheetData>
    <row r="1" spans="1:3" x14ac:dyDescent="0.3">
      <c r="A1" t="s">
        <v>300</v>
      </c>
      <c r="B1" t="s">
        <v>301</v>
      </c>
      <c r="C1" t="s">
        <v>111</v>
      </c>
    </row>
    <row r="2" spans="1:3" x14ac:dyDescent="0.3">
      <c r="A2" t="s">
        <v>302</v>
      </c>
      <c r="B2" t="s">
        <v>303</v>
      </c>
      <c r="C2">
        <v>7801</v>
      </c>
    </row>
    <row r="3" spans="1:3" x14ac:dyDescent="0.3">
      <c r="A3" t="s">
        <v>304</v>
      </c>
      <c r="B3" t="s">
        <v>305</v>
      </c>
      <c r="C3">
        <v>19278</v>
      </c>
    </row>
    <row r="4" spans="1:3" x14ac:dyDescent="0.3">
      <c r="A4" t="s">
        <v>306</v>
      </c>
      <c r="B4" t="s">
        <v>307</v>
      </c>
      <c r="C4">
        <v>11295</v>
      </c>
    </row>
    <row r="5" spans="1:3" x14ac:dyDescent="0.3">
      <c r="A5" t="s">
        <v>308</v>
      </c>
      <c r="B5" t="s">
        <v>303</v>
      </c>
      <c r="C5">
        <v>19200</v>
      </c>
    </row>
    <row r="6" spans="1:3" x14ac:dyDescent="0.3">
      <c r="A6" t="s">
        <v>304</v>
      </c>
      <c r="B6" t="s">
        <v>305</v>
      </c>
      <c r="C6">
        <v>8411</v>
      </c>
    </row>
    <row r="7" spans="1:3" x14ac:dyDescent="0.3">
      <c r="A7" t="s">
        <v>302</v>
      </c>
      <c r="B7" t="s">
        <v>303</v>
      </c>
      <c r="C7">
        <v>13574</v>
      </c>
    </row>
    <row r="8" spans="1:3" x14ac:dyDescent="0.3">
      <c r="A8" t="s">
        <v>306</v>
      </c>
      <c r="B8" t="s">
        <v>309</v>
      </c>
      <c r="C8">
        <v>7700</v>
      </c>
    </row>
    <row r="9" spans="1:3" x14ac:dyDescent="0.3">
      <c r="A9" t="s">
        <v>304</v>
      </c>
      <c r="B9" t="s">
        <v>303</v>
      </c>
      <c r="C9">
        <v>12815</v>
      </c>
    </row>
    <row r="10" spans="1:3" x14ac:dyDescent="0.3">
      <c r="A10" t="s">
        <v>302</v>
      </c>
      <c r="B10" t="s">
        <v>305</v>
      </c>
      <c r="C10">
        <v>5871</v>
      </c>
    </row>
    <row r="11" spans="1:3" x14ac:dyDescent="0.3">
      <c r="A11" t="s">
        <v>310</v>
      </c>
      <c r="B11" t="s">
        <v>303</v>
      </c>
      <c r="C11">
        <v>7169</v>
      </c>
    </row>
    <row r="12" spans="1:3" x14ac:dyDescent="0.3">
      <c r="A12" t="s">
        <v>310</v>
      </c>
      <c r="B12" t="s">
        <v>311</v>
      </c>
      <c r="C12">
        <v>5626</v>
      </c>
    </row>
    <row r="13" spans="1:3" x14ac:dyDescent="0.3">
      <c r="A13" t="s">
        <v>310</v>
      </c>
      <c r="B13" t="s">
        <v>309</v>
      </c>
      <c r="C13">
        <v>12058</v>
      </c>
    </row>
    <row r="14" spans="1:3" x14ac:dyDescent="0.3">
      <c r="A14" t="s">
        <v>306</v>
      </c>
      <c r="B14" t="s">
        <v>303</v>
      </c>
      <c r="C14">
        <v>14208</v>
      </c>
    </row>
    <row r="15" spans="1:3" x14ac:dyDescent="0.3">
      <c r="A15" t="s">
        <v>304</v>
      </c>
      <c r="B15" t="s">
        <v>309</v>
      </c>
      <c r="C15">
        <v>14796</v>
      </c>
    </row>
    <row r="16" spans="1:3" x14ac:dyDescent="0.3">
      <c r="A16" t="s">
        <v>310</v>
      </c>
      <c r="B16" t="s">
        <v>305</v>
      </c>
      <c r="C16">
        <v>16051</v>
      </c>
    </row>
    <row r="17" spans="1:3" x14ac:dyDescent="0.3">
      <c r="A17" t="s">
        <v>304</v>
      </c>
      <c r="B17" t="s">
        <v>311</v>
      </c>
      <c r="C17">
        <v>18974</v>
      </c>
    </row>
    <row r="18" spans="1:3" x14ac:dyDescent="0.3">
      <c r="A18" t="s">
        <v>302</v>
      </c>
      <c r="B18" t="s">
        <v>311</v>
      </c>
      <c r="C18">
        <v>17470</v>
      </c>
    </row>
    <row r="19" spans="1:3" x14ac:dyDescent="0.3">
      <c r="A19" t="s">
        <v>302</v>
      </c>
      <c r="B19" t="s">
        <v>307</v>
      </c>
      <c r="C19">
        <v>13590</v>
      </c>
    </row>
    <row r="20" spans="1:3" x14ac:dyDescent="0.3">
      <c r="A20" t="s">
        <v>310</v>
      </c>
      <c r="B20" t="s">
        <v>305</v>
      </c>
      <c r="C20">
        <v>7125</v>
      </c>
    </row>
    <row r="21" spans="1:3" x14ac:dyDescent="0.3">
      <c r="A21" t="s">
        <v>302</v>
      </c>
      <c r="B21" t="s">
        <v>307</v>
      </c>
      <c r="C21">
        <v>6719</v>
      </c>
    </row>
    <row r="22" spans="1:3" x14ac:dyDescent="0.3">
      <c r="A22" t="s">
        <v>302</v>
      </c>
      <c r="B22" t="s">
        <v>307</v>
      </c>
      <c r="C22">
        <v>14877</v>
      </c>
    </row>
    <row r="23" spans="1:3" x14ac:dyDescent="0.3">
      <c r="A23" t="s">
        <v>310</v>
      </c>
      <c r="B23" t="s">
        <v>309</v>
      </c>
      <c r="C23">
        <v>13681</v>
      </c>
    </row>
    <row r="24" spans="1:3" x14ac:dyDescent="0.3">
      <c r="A24" t="s">
        <v>308</v>
      </c>
      <c r="B24" t="s">
        <v>311</v>
      </c>
      <c r="C24">
        <v>15476</v>
      </c>
    </row>
    <row r="25" spans="1:3" x14ac:dyDescent="0.3">
      <c r="A25" t="s">
        <v>306</v>
      </c>
      <c r="B25" t="s">
        <v>305</v>
      </c>
      <c r="C25">
        <v>5109</v>
      </c>
    </row>
    <row r="26" spans="1:3" x14ac:dyDescent="0.3">
      <c r="A26" t="s">
        <v>304</v>
      </c>
      <c r="B26" t="s">
        <v>311</v>
      </c>
      <c r="C26">
        <v>7285</v>
      </c>
    </row>
    <row r="27" spans="1:3" x14ac:dyDescent="0.3">
      <c r="A27" t="s">
        <v>306</v>
      </c>
      <c r="B27" t="s">
        <v>303</v>
      </c>
      <c r="C27">
        <v>7220</v>
      </c>
    </row>
    <row r="28" spans="1:3" x14ac:dyDescent="0.3">
      <c r="A28" t="s">
        <v>308</v>
      </c>
      <c r="B28" t="s">
        <v>303</v>
      </c>
      <c r="C28">
        <v>8225</v>
      </c>
    </row>
    <row r="29" spans="1:3" x14ac:dyDescent="0.3">
      <c r="A29" t="s">
        <v>310</v>
      </c>
      <c r="B29" t="s">
        <v>307</v>
      </c>
      <c r="C29">
        <v>13443</v>
      </c>
    </row>
    <row r="30" spans="1:3" x14ac:dyDescent="0.3">
      <c r="A30" t="s">
        <v>310</v>
      </c>
      <c r="B30" t="s">
        <v>311</v>
      </c>
      <c r="C30">
        <v>16368</v>
      </c>
    </row>
    <row r="31" spans="1:3" x14ac:dyDescent="0.3">
      <c r="A31" t="s">
        <v>308</v>
      </c>
      <c r="B31" t="s">
        <v>307</v>
      </c>
      <c r="C31">
        <v>19740</v>
      </c>
    </row>
    <row r="32" spans="1:3" x14ac:dyDescent="0.3">
      <c r="A32" t="s">
        <v>308</v>
      </c>
      <c r="B32" t="s">
        <v>311</v>
      </c>
      <c r="C32">
        <v>7342</v>
      </c>
    </row>
    <row r="33" spans="1:3" x14ac:dyDescent="0.3">
      <c r="A33" t="s">
        <v>306</v>
      </c>
      <c r="B33" t="s">
        <v>309</v>
      </c>
      <c r="C33">
        <v>12671</v>
      </c>
    </row>
    <row r="34" spans="1:3" x14ac:dyDescent="0.3">
      <c r="A34" t="s">
        <v>308</v>
      </c>
      <c r="B34" t="s">
        <v>305</v>
      </c>
      <c r="C34">
        <v>8694</v>
      </c>
    </row>
    <row r="35" spans="1:3" x14ac:dyDescent="0.3">
      <c r="A35" t="s">
        <v>302</v>
      </c>
      <c r="B35" t="s">
        <v>311</v>
      </c>
      <c r="C35">
        <v>11211</v>
      </c>
    </row>
    <row r="36" spans="1:3" x14ac:dyDescent="0.3">
      <c r="A36" t="s">
        <v>302</v>
      </c>
      <c r="B36" t="s">
        <v>309</v>
      </c>
      <c r="C36">
        <v>14816</v>
      </c>
    </row>
    <row r="37" spans="1:3" x14ac:dyDescent="0.3">
      <c r="A37" t="s">
        <v>310</v>
      </c>
      <c r="B37" t="s">
        <v>303</v>
      </c>
      <c r="C37">
        <v>9659</v>
      </c>
    </row>
    <row r="38" spans="1:3" x14ac:dyDescent="0.3">
      <c r="A38" t="s">
        <v>308</v>
      </c>
      <c r="B38" t="s">
        <v>303</v>
      </c>
      <c r="C38">
        <v>7750</v>
      </c>
    </row>
    <row r="39" spans="1:3" x14ac:dyDescent="0.3">
      <c r="A39" t="s">
        <v>310</v>
      </c>
      <c r="B39" t="s">
        <v>303</v>
      </c>
      <c r="C39">
        <v>12937</v>
      </c>
    </row>
    <row r="40" spans="1:3" x14ac:dyDescent="0.3">
      <c r="A40" t="s">
        <v>306</v>
      </c>
      <c r="B40" t="s">
        <v>309</v>
      </c>
      <c r="C40">
        <v>19195</v>
      </c>
    </row>
    <row r="41" spans="1:3" x14ac:dyDescent="0.3">
      <c r="A41" t="s">
        <v>310</v>
      </c>
      <c r="B41" t="s">
        <v>309</v>
      </c>
      <c r="C41">
        <v>11859</v>
      </c>
    </row>
    <row r="42" spans="1:3" x14ac:dyDescent="0.3">
      <c r="A42" t="s">
        <v>308</v>
      </c>
      <c r="B42" t="s">
        <v>307</v>
      </c>
      <c r="C42">
        <v>19740</v>
      </c>
    </row>
    <row r="43" spans="1:3" x14ac:dyDescent="0.3">
      <c r="A43" t="s">
        <v>308</v>
      </c>
      <c r="B43" t="s">
        <v>311</v>
      </c>
      <c r="C43">
        <v>15476</v>
      </c>
    </row>
    <row r="44" spans="1:3" x14ac:dyDescent="0.3">
      <c r="A44" t="s">
        <v>304</v>
      </c>
      <c r="B44" t="s">
        <v>311</v>
      </c>
      <c r="C44">
        <v>7285</v>
      </c>
    </row>
    <row r="45" spans="1:3" x14ac:dyDescent="0.3">
      <c r="A45" t="s">
        <v>302</v>
      </c>
      <c r="B45" t="s">
        <v>311</v>
      </c>
      <c r="C45">
        <v>11211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2454-0AF5-48C9-9168-BA8EA1AB1814}">
  <sheetPr>
    <tabColor theme="4" tint="0.79998168889431442"/>
  </sheetPr>
  <dimension ref="A1:I47"/>
  <sheetViews>
    <sheetView workbookViewId="0">
      <pane ySplit="3" topLeftCell="A4" activePane="bottomLeft" state="frozen"/>
      <selection pane="bottomLeft" activeCell="A4" sqref="A4"/>
    </sheetView>
  </sheetViews>
  <sheetFormatPr defaultRowHeight="14.4" x14ac:dyDescent="0.3"/>
  <cols>
    <col min="1" max="1" width="40.44140625" customWidth="1"/>
    <col min="2" max="2" width="9.21875" bestFit="1" customWidth="1"/>
    <col min="3" max="3" width="6.5546875" bestFit="1" customWidth="1"/>
    <col min="4" max="4" width="2" customWidth="1"/>
    <col min="5" max="5" width="60.77734375" bestFit="1" customWidth="1"/>
    <col min="6" max="6" width="10.77734375" bestFit="1" customWidth="1"/>
    <col min="7" max="7" width="6.5546875" bestFit="1" customWidth="1"/>
    <col min="8" max="8" width="10.77734375" bestFit="1" customWidth="1"/>
    <col min="9" max="9" width="18" customWidth="1"/>
  </cols>
  <sheetData>
    <row r="1" spans="1:9" ht="46.8" x14ac:dyDescent="0.3">
      <c r="A1" s="588" t="s">
        <v>1179</v>
      </c>
      <c r="B1" s="587"/>
      <c r="C1" s="587"/>
      <c r="D1" s="587"/>
      <c r="E1" s="587"/>
      <c r="F1" s="587"/>
      <c r="G1" s="587"/>
      <c r="H1" s="587"/>
      <c r="I1" s="586" t="s">
        <v>1178</v>
      </c>
    </row>
    <row r="2" spans="1:9" ht="22.05" customHeight="1" x14ac:dyDescent="0.3">
      <c r="A2" s="589" t="s">
        <v>1180</v>
      </c>
      <c r="B2" s="589"/>
      <c r="C2" s="589"/>
      <c r="D2" s="590"/>
      <c r="E2" s="591" t="s">
        <v>1181</v>
      </c>
      <c r="F2" s="592"/>
      <c r="G2" s="592"/>
      <c r="H2" s="592"/>
    </row>
    <row r="3" spans="1:9" ht="19.95" customHeight="1" x14ac:dyDescent="0.3">
      <c r="A3" s="587" t="s">
        <v>300</v>
      </c>
      <c r="B3" s="587" t="s">
        <v>301</v>
      </c>
      <c r="C3" s="587" t="s">
        <v>111</v>
      </c>
      <c r="D3" s="590"/>
      <c r="E3" s="593" t="s">
        <v>1182</v>
      </c>
      <c r="F3" s="593" t="s">
        <v>1183</v>
      </c>
      <c r="G3" s="593" t="s">
        <v>111</v>
      </c>
      <c r="H3" s="593" t="s">
        <v>240</v>
      </c>
    </row>
    <row r="4" spans="1:9" ht="16.05" customHeight="1" x14ac:dyDescent="0.3">
      <c r="A4" s="594" t="s">
        <v>481</v>
      </c>
      <c r="B4" s="594" t="s">
        <v>482</v>
      </c>
      <c r="C4" s="595">
        <v>7801</v>
      </c>
      <c r="D4" s="590"/>
      <c r="E4" s="594" t="s">
        <v>1184</v>
      </c>
      <c r="F4" s="594" t="s">
        <v>1185</v>
      </c>
      <c r="G4" s="595">
        <v>7801</v>
      </c>
      <c r="H4" s="596" t="s">
        <v>1186</v>
      </c>
    </row>
    <row r="5" spans="1:9" ht="16.05" customHeight="1" x14ac:dyDescent="0.3">
      <c r="A5" s="597" t="s">
        <v>483</v>
      </c>
      <c r="B5" s="597" t="s">
        <v>484</v>
      </c>
      <c r="C5" s="598">
        <v>19278</v>
      </c>
      <c r="D5" s="590"/>
      <c r="E5" s="597" t="s">
        <v>1187</v>
      </c>
      <c r="F5" s="597" t="s">
        <v>1188</v>
      </c>
      <c r="G5" s="598">
        <v>19278</v>
      </c>
      <c r="H5" s="599" t="s">
        <v>1186</v>
      </c>
    </row>
    <row r="6" spans="1:9" ht="16.05" customHeight="1" x14ac:dyDescent="0.3">
      <c r="A6" s="594" t="s">
        <v>485</v>
      </c>
      <c r="B6" s="594" t="s">
        <v>307</v>
      </c>
      <c r="C6" s="595">
        <v>11295</v>
      </c>
      <c r="D6" s="590"/>
      <c r="E6" s="594" t="s">
        <v>1189</v>
      </c>
      <c r="F6" s="594" t="s">
        <v>1190</v>
      </c>
      <c r="G6" s="595">
        <v>11295</v>
      </c>
      <c r="H6" s="596" t="s">
        <v>1186</v>
      </c>
    </row>
    <row r="7" spans="1:9" ht="16.05" customHeight="1" x14ac:dyDescent="0.3">
      <c r="A7" s="597" t="s">
        <v>486</v>
      </c>
      <c r="B7" s="597" t="s">
        <v>482</v>
      </c>
      <c r="C7" s="598">
        <v>19200</v>
      </c>
      <c r="D7" s="590"/>
      <c r="E7" s="597" t="s">
        <v>1191</v>
      </c>
      <c r="F7" s="597" t="s">
        <v>1185</v>
      </c>
      <c r="G7" s="598">
        <v>19200</v>
      </c>
      <c r="H7" s="599" t="s">
        <v>1186</v>
      </c>
    </row>
    <row r="8" spans="1:9" ht="16.05" customHeight="1" x14ac:dyDescent="0.3">
      <c r="A8" s="594" t="s">
        <v>483</v>
      </c>
      <c r="B8" s="594" t="s">
        <v>484</v>
      </c>
      <c r="C8" s="595">
        <v>8411</v>
      </c>
      <c r="D8" s="590"/>
      <c r="E8" s="594" t="s">
        <v>1187</v>
      </c>
      <c r="F8" s="594" t="s">
        <v>1188</v>
      </c>
      <c r="G8" s="595">
        <v>8411</v>
      </c>
      <c r="H8" s="596" t="s">
        <v>1186</v>
      </c>
    </row>
    <row r="9" spans="1:9" ht="16.05" customHeight="1" x14ac:dyDescent="0.3">
      <c r="A9" s="597" t="s">
        <v>481</v>
      </c>
      <c r="B9" s="597" t="s">
        <v>482</v>
      </c>
      <c r="C9" s="598">
        <v>13574</v>
      </c>
      <c r="D9" s="590"/>
      <c r="E9" s="597" t="s">
        <v>1184</v>
      </c>
      <c r="F9" s="597" t="s">
        <v>1185</v>
      </c>
      <c r="G9" s="598">
        <v>13574</v>
      </c>
      <c r="H9" s="599" t="s">
        <v>1186</v>
      </c>
    </row>
    <row r="10" spans="1:9" ht="16.05" customHeight="1" x14ac:dyDescent="0.3">
      <c r="A10" s="594" t="s">
        <v>485</v>
      </c>
      <c r="B10" s="594" t="s">
        <v>487</v>
      </c>
      <c r="C10" s="595">
        <v>7700</v>
      </c>
      <c r="D10" s="590"/>
      <c r="E10" s="594" t="s">
        <v>1189</v>
      </c>
      <c r="F10" s="594" t="s">
        <v>1192</v>
      </c>
      <c r="G10" s="595">
        <v>7700</v>
      </c>
      <c r="H10" s="596" t="s">
        <v>1186</v>
      </c>
    </row>
    <row r="11" spans="1:9" ht="16.05" customHeight="1" x14ac:dyDescent="0.3">
      <c r="A11" s="597" t="s">
        <v>483</v>
      </c>
      <c r="B11" s="597" t="s">
        <v>482</v>
      </c>
      <c r="C11" s="598">
        <v>12815</v>
      </c>
      <c r="D11" s="590"/>
      <c r="E11" s="597" t="s">
        <v>1187</v>
      </c>
      <c r="F11" s="597" t="s">
        <v>1185</v>
      </c>
      <c r="G11" s="598">
        <v>12815</v>
      </c>
      <c r="H11" s="599" t="s">
        <v>1186</v>
      </c>
    </row>
    <row r="12" spans="1:9" ht="16.05" customHeight="1" x14ac:dyDescent="0.3">
      <c r="A12" s="594" t="s">
        <v>481</v>
      </c>
      <c r="B12" s="594" t="s">
        <v>484</v>
      </c>
      <c r="C12" s="595">
        <v>5871</v>
      </c>
      <c r="D12" s="590"/>
      <c r="E12" s="594" t="s">
        <v>1184</v>
      </c>
      <c r="F12" s="594" t="s">
        <v>1188</v>
      </c>
      <c r="G12" s="595">
        <v>5871</v>
      </c>
      <c r="H12" s="596" t="s">
        <v>1186</v>
      </c>
    </row>
    <row r="13" spans="1:9" ht="16.05" customHeight="1" x14ac:dyDescent="0.3">
      <c r="A13" s="597" t="s">
        <v>483</v>
      </c>
      <c r="B13" s="597" t="s">
        <v>482</v>
      </c>
      <c r="C13" s="598">
        <v>7169</v>
      </c>
      <c r="D13" s="590"/>
      <c r="E13" s="597" t="s">
        <v>1193</v>
      </c>
      <c r="F13" s="597" t="s">
        <v>1185</v>
      </c>
      <c r="G13" s="598">
        <v>7169</v>
      </c>
      <c r="H13" s="599" t="s">
        <v>1186</v>
      </c>
    </row>
    <row r="14" spans="1:9" ht="16.05" customHeight="1" x14ac:dyDescent="0.3">
      <c r="A14" s="594" t="s">
        <v>483</v>
      </c>
      <c r="B14" s="594" t="s">
        <v>484</v>
      </c>
      <c r="C14" s="595">
        <v>5626</v>
      </c>
      <c r="D14" s="590"/>
      <c r="E14" s="594" t="s">
        <v>1193</v>
      </c>
      <c r="F14" s="594" t="s">
        <v>1194</v>
      </c>
      <c r="G14" s="595">
        <v>5626</v>
      </c>
      <c r="H14" s="596" t="s">
        <v>1186</v>
      </c>
    </row>
    <row r="15" spans="1:9" ht="16.05" customHeight="1" x14ac:dyDescent="0.3">
      <c r="A15" s="597" t="s">
        <v>483</v>
      </c>
      <c r="B15" s="597" t="s">
        <v>487</v>
      </c>
      <c r="C15" s="598">
        <v>12058</v>
      </c>
      <c r="D15" s="590"/>
      <c r="E15" s="597" t="s">
        <v>1193</v>
      </c>
      <c r="F15" s="597" t="s">
        <v>1192</v>
      </c>
      <c r="G15" s="598">
        <v>12058</v>
      </c>
      <c r="H15" s="599" t="s">
        <v>1186</v>
      </c>
    </row>
    <row r="16" spans="1:9" ht="16.05" customHeight="1" x14ac:dyDescent="0.3">
      <c r="A16" s="594" t="s">
        <v>485</v>
      </c>
      <c r="B16" s="594" t="s">
        <v>482</v>
      </c>
      <c r="C16" s="595">
        <v>14208</v>
      </c>
      <c r="D16" s="590"/>
      <c r="E16" s="594" t="s">
        <v>1189</v>
      </c>
      <c r="F16" s="594" t="s">
        <v>1185</v>
      </c>
      <c r="G16" s="595">
        <v>14208</v>
      </c>
      <c r="H16" s="596" t="s">
        <v>1186</v>
      </c>
    </row>
    <row r="17" spans="1:8" ht="16.05" customHeight="1" x14ac:dyDescent="0.3">
      <c r="A17" s="597" t="s">
        <v>483</v>
      </c>
      <c r="B17" s="597" t="s">
        <v>487</v>
      </c>
      <c r="C17" s="598">
        <v>14796</v>
      </c>
      <c r="D17" s="590"/>
      <c r="E17" s="597" t="s">
        <v>1187</v>
      </c>
      <c r="F17" s="597" t="s">
        <v>1192</v>
      </c>
      <c r="G17" s="598">
        <v>14796</v>
      </c>
      <c r="H17" s="599" t="s">
        <v>1186</v>
      </c>
    </row>
    <row r="18" spans="1:8" ht="16.05" customHeight="1" x14ac:dyDescent="0.3">
      <c r="A18" s="594" t="s">
        <v>483</v>
      </c>
      <c r="B18" s="594" t="s">
        <v>484</v>
      </c>
      <c r="C18" s="595">
        <v>16051</v>
      </c>
      <c r="D18" s="590"/>
      <c r="E18" s="594" t="s">
        <v>1193</v>
      </c>
      <c r="F18" s="594" t="s">
        <v>1188</v>
      </c>
      <c r="G18" s="595">
        <v>16051</v>
      </c>
      <c r="H18" s="596" t="s">
        <v>1186</v>
      </c>
    </row>
    <row r="19" spans="1:8" ht="16.05" customHeight="1" x14ac:dyDescent="0.3">
      <c r="A19" s="597" t="s">
        <v>483</v>
      </c>
      <c r="B19" s="597" t="s">
        <v>484</v>
      </c>
      <c r="C19" s="598">
        <v>18974</v>
      </c>
      <c r="D19" s="590"/>
      <c r="E19" s="597" t="s">
        <v>1187</v>
      </c>
      <c r="F19" s="597" t="s">
        <v>1194</v>
      </c>
      <c r="G19" s="598">
        <v>18974</v>
      </c>
      <c r="H19" s="599" t="s">
        <v>1186</v>
      </c>
    </row>
    <row r="20" spans="1:8" ht="16.05" customHeight="1" x14ac:dyDescent="0.3">
      <c r="A20" s="594" t="s">
        <v>481</v>
      </c>
      <c r="B20" s="594" t="s">
        <v>484</v>
      </c>
      <c r="C20" s="595">
        <v>17470</v>
      </c>
      <c r="D20" s="590"/>
      <c r="E20" s="594" t="s">
        <v>1184</v>
      </c>
      <c r="F20" s="594" t="s">
        <v>1194</v>
      </c>
      <c r="G20" s="595">
        <v>17470</v>
      </c>
      <c r="H20" s="596" t="s">
        <v>1186</v>
      </c>
    </row>
    <row r="21" spans="1:8" ht="16.05" customHeight="1" x14ac:dyDescent="0.3">
      <c r="A21" s="597" t="s">
        <v>481</v>
      </c>
      <c r="B21" s="597" t="s">
        <v>307</v>
      </c>
      <c r="C21" s="598">
        <v>13590</v>
      </c>
      <c r="D21" s="590"/>
      <c r="E21" s="597" t="s">
        <v>1184</v>
      </c>
      <c r="F21" s="597" t="s">
        <v>1190</v>
      </c>
      <c r="G21" s="598">
        <v>13590</v>
      </c>
      <c r="H21" s="599" t="s">
        <v>1186</v>
      </c>
    </row>
    <row r="22" spans="1:8" ht="16.05" customHeight="1" x14ac:dyDescent="0.3">
      <c r="A22" s="594" t="s">
        <v>483</v>
      </c>
      <c r="B22" s="594" t="s">
        <v>484</v>
      </c>
      <c r="C22" s="595">
        <v>7125</v>
      </c>
      <c r="D22" s="590"/>
      <c r="E22" s="594" t="s">
        <v>1193</v>
      </c>
      <c r="F22" s="594" t="s">
        <v>1188</v>
      </c>
      <c r="G22" s="595">
        <v>7125</v>
      </c>
      <c r="H22" s="596" t="s">
        <v>1186</v>
      </c>
    </row>
    <row r="23" spans="1:8" ht="16.05" customHeight="1" x14ac:dyDescent="0.3">
      <c r="A23" s="597" t="s">
        <v>481</v>
      </c>
      <c r="B23" s="597" t="s">
        <v>307</v>
      </c>
      <c r="C23" s="598">
        <v>6719</v>
      </c>
      <c r="D23" s="590"/>
      <c r="E23" s="597" t="s">
        <v>1184</v>
      </c>
      <c r="F23" s="597" t="s">
        <v>1190</v>
      </c>
      <c r="G23" s="598">
        <v>6719</v>
      </c>
      <c r="H23" s="599" t="s">
        <v>1186</v>
      </c>
    </row>
    <row r="24" spans="1:8" ht="16.05" customHeight="1" x14ac:dyDescent="0.3">
      <c r="A24" s="594" t="s">
        <v>481</v>
      </c>
      <c r="B24" s="594" t="s">
        <v>307</v>
      </c>
      <c r="C24" s="595">
        <v>14877</v>
      </c>
      <c r="D24" s="590"/>
      <c r="E24" s="594" t="s">
        <v>1184</v>
      </c>
      <c r="F24" s="594" t="s">
        <v>1190</v>
      </c>
      <c r="G24" s="595">
        <v>14877</v>
      </c>
      <c r="H24" s="596" t="s">
        <v>1186</v>
      </c>
    </row>
    <row r="25" spans="1:8" ht="16.05" customHeight="1" x14ac:dyDescent="0.3">
      <c r="A25" s="597" t="s">
        <v>483</v>
      </c>
      <c r="B25" s="597" t="s">
        <v>487</v>
      </c>
      <c r="C25" s="598">
        <v>13681</v>
      </c>
      <c r="D25" s="590"/>
      <c r="E25" s="597" t="s">
        <v>1193</v>
      </c>
      <c r="F25" s="597" t="s">
        <v>1192</v>
      </c>
      <c r="G25" s="598">
        <v>13681</v>
      </c>
      <c r="H25" s="599" t="s">
        <v>1186</v>
      </c>
    </row>
    <row r="26" spans="1:8" ht="16.05" customHeight="1" x14ac:dyDescent="0.3">
      <c r="A26" s="594" t="s">
        <v>486</v>
      </c>
      <c r="B26" s="594" t="s">
        <v>484</v>
      </c>
      <c r="C26" s="595">
        <v>15476</v>
      </c>
      <c r="D26" s="590"/>
      <c r="E26" s="594" t="s">
        <v>1191</v>
      </c>
      <c r="F26" s="594" t="s">
        <v>1194</v>
      </c>
      <c r="G26" s="595">
        <v>15476</v>
      </c>
      <c r="H26" s="596" t="s">
        <v>1186</v>
      </c>
    </row>
    <row r="27" spans="1:8" ht="16.05" customHeight="1" x14ac:dyDescent="0.3">
      <c r="A27" s="597" t="s">
        <v>485</v>
      </c>
      <c r="B27" s="597" t="s">
        <v>484</v>
      </c>
      <c r="C27" s="598">
        <v>5109</v>
      </c>
      <c r="D27" s="590"/>
      <c r="E27" s="597" t="s">
        <v>1189</v>
      </c>
      <c r="F27" s="597" t="s">
        <v>1188</v>
      </c>
      <c r="G27" s="598">
        <v>5109</v>
      </c>
      <c r="H27" s="599" t="s">
        <v>1186</v>
      </c>
    </row>
    <row r="28" spans="1:8" ht="16.05" customHeight="1" x14ac:dyDescent="0.3">
      <c r="A28" s="594" t="s">
        <v>483</v>
      </c>
      <c r="B28" s="594" t="s">
        <v>484</v>
      </c>
      <c r="C28" s="595">
        <v>7285</v>
      </c>
      <c r="D28" s="590"/>
      <c r="E28" s="594" t="s">
        <v>1187</v>
      </c>
      <c r="F28" s="594" t="s">
        <v>1194</v>
      </c>
      <c r="G28" s="595">
        <v>7285</v>
      </c>
      <c r="H28" s="596" t="s">
        <v>1186</v>
      </c>
    </row>
    <row r="29" spans="1:8" ht="16.05" customHeight="1" x14ac:dyDescent="0.3">
      <c r="A29" s="597" t="s">
        <v>485</v>
      </c>
      <c r="B29" s="597" t="s">
        <v>482</v>
      </c>
      <c r="C29" s="598">
        <v>7220</v>
      </c>
      <c r="D29" s="590"/>
      <c r="E29" s="597" t="s">
        <v>1189</v>
      </c>
      <c r="F29" s="597" t="s">
        <v>1185</v>
      </c>
      <c r="G29" s="598">
        <v>7220</v>
      </c>
      <c r="H29" s="599" t="s">
        <v>1186</v>
      </c>
    </row>
    <row r="30" spans="1:8" ht="16.05" customHeight="1" x14ac:dyDescent="0.3">
      <c r="A30" s="594" t="s">
        <v>486</v>
      </c>
      <c r="B30" s="594" t="s">
        <v>482</v>
      </c>
      <c r="C30" s="595">
        <v>8225</v>
      </c>
      <c r="D30" s="590"/>
      <c r="E30" s="594" t="s">
        <v>1191</v>
      </c>
      <c r="F30" s="594" t="s">
        <v>1185</v>
      </c>
      <c r="G30" s="595">
        <v>8225</v>
      </c>
      <c r="H30" s="596" t="s">
        <v>1186</v>
      </c>
    </row>
    <row r="31" spans="1:8" ht="16.05" customHeight="1" x14ac:dyDescent="0.3">
      <c r="A31" s="597" t="s">
        <v>483</v>
      </c>
      <c r="B31" s="597" t="s">
        <v>307</v>
      </c>
      <c r="C31" s="598">
        <v>13443</v>
      </c>
      <c r="D31" s="590"/>
      <c r="E31" s="597" t="s">
        <v>1193</v>
      </c>
      <c r="F31" s="597" t="s">
        <v>1190</v>
      </c>
      <c r="G31" s="598">
        <v>13443</v>
      </c>
      <c r="H31" s="599" t="s">
        <v>1186</v>
      </c>
    </row>
    <row r="32" spans="1:8" ht="16.05" customHeight="1" x14ac:dyDescent="0.3">
      <c r="A32" s="594" t="s">
        <v>483</v>
      </c>
      <c r="B32" s="594" t="s">
        <v>484</v>
      </c>
      <c r="C32" s="595">
        <v>16368</v>
      </c>
      <c r="D32" s="590"/>
      <c r="E32" s="594" t="s">
        <v>1193</v>
      </c>
      <c r="F32" s="594" t="s">
        <v>1194</v>
      </c>
      <c r="G32" s="595">
        <v>16368</v>
      </c>
      <c r="H32" s="596" t="s">
        <v>1186</v>
      </c>
    </row>
    <row r="33" spans="1:8" ht="16.05" customHeight="1" x14ac:dyDescent="0.3">
      <c r="A33" s="597" t="s">
        <v>486</v>
      </c>
      <c r="B33" s="597" t="s">
        <v>307</v>
      </c>
      <c r="C33" s="598">
        <v>19740</v>
      </c>
      <c r="D33" s="590"/>
      <c r="E33" s="597" t="s">
        <v>1191</v>
      </c>
      <c r="F33" s="597" t="s">
        <v>1190</v>
      </c>
      <c r="G33" s="598">
        <v>19740</v>
      </c>
      <c r="H33" s="599" t="s">
        <v>1186</v>
      </c>
    </row>
    <row r="34" spans="1:8" ht="16.05" customHeight="1" x14ac:dyDescent="0.3">
      <c r="A34" s="594" t="s">
        <v>486</v>
      </c>
      <c r="B34" s="594" t="s">
        <v>484</v>
      </c>
      <c r="C34" s="595">
        <v>7342</v>
      </c>
      <c r="D34" s="590"/>
      <c r="E34" s="594" t="s">
        <v>1191</v>
      </c>
      <c r="F34" s="594" t="s">
        <v>1194</v>
      </c>
      <c r="G34" s="595">
        <v>7342</v>
      </c>
      <c r="H34" s="596" t="s">
        <v>1186</v>
      </c>
    </row>
    <row r="35" spans="1:8" ht="16.05" customHeight="1" x14ac:dyDescent="0.3">
      <c r="A35" s="597" t="s">
        <v>485</v>
      </c>
      <c r="B35" s="597" t="s">
        <v>487</v>
      </c>
      <c r="C35" s="598">
        <v>12671</v>
      </c>
      <c r="D35" s="590"/>
      <c r="E35" s="597" t="s">
        <v>1189</v>
      </c>
      <c r="F35" s="597" t="s">
        <v>1192</v>
      </c>
      <c r="G35" s="598">
        <v>12671</v>
      </c>
      <c r="H35" s="599" t="s">
        <v>1186</v>
      </c>
    </row>
    <row r="36" spans="1:8" ht="16.05" customHeight="1" x14ac:dyDescent="0.3">
      <c r="A36" s="594" t="s">
        <v>486</v>
      </c>
      <c r="B36" s="594" t="s">
        <v>484</v>
      </c>
      <c r="C36" s="595">
        <v>8694</v>
      </c>
      <c r="D36" s="590"/>
      <c r="E36" s="594" t="s">
        <v>1191</v>
      </c>
      <c r="F36" s="594" t="s">
        <v>1188</v>
      </c>
      <c r="G36" s="595">
        <v>8694</v>
      </c>
      <c r="H36" s="596" t="s">
        <v>1186</v>
      </c>
    </row>
    <row r="37" spans="1:8" ht="16.05" customHeight="1" x14ac:dyDescent="0.3">
      <c r="A37" s="597" t="s">
        <v>481</v>
      </c>
      <c r="B37" s="597" t="s">
        <v>484</v>
      </c>
      <c r="C37" s="598">
        <v>11211</v>
      </c>
      <c r="D37" s="590"/>
      <c r="E37" s="597" t="s">
        <v>1184</v>
      </c>
      <c r="F37" s="597" t="s">
        <v>1194</v>
      </c>
      <c r="G37" s="598">
        <v>11211</v>
      </c>
      <c r="H37" s="599" t="s">
        <v>1186</v>
      </c>
    </row>
    <row r="38" spans="1:8" ht="16.05" customHeight="1" x14ac:dyDescent="0.3">
      <c r="A38" s="594" t="s">
        <v>481</v>
      </c>
      <c r="B38" s="594" t="s">
        <v>487</v>
      </c>
      <c r="C38" s="595">
        <v>14816</v>
      </c>
      <c r="D38" s="590"/>
      <c r="E38" s="594" t="s">
        <v>1184</v>
      </c>
      <c r="F38" s="594" t="s">
        <v>1192</v>
      </c>
      <c r="G38" s="595">
        <v>14816</v>
      </c>
      <c r="H38" s="596" t="s">
        <v>1186</v>
      </c>
    </row>
    <row r="39" spans="1:8" ht="16.05" customHeight="1" x14ac:dyDescent="0.3">
      <c r="A39" s="597" t="s">
        <v>483</v>
      </c>
      <c r="B39" s="597" t="s">
        <v>482</v>
      </c>
      <c r="C39" s="598">
        <v>9659</v>
      </c>
      <c r="D39" s="590"/>
      <c r="E39" s="597" t="s">
        <v>1193</v>
      </c>
      <c r="F39" s="597" t="s">
        <v>1185</v>
      </c>
      <c r="G39" s="598">
        <v>9659</v>
      </c>
      <c r="H39" s="599" t="s">
        <v>1186</v>
      </c>
    </row>
    <row r="40" spans="1:8" ht="16.05" customHeight="1" x14ac:dyDescent="0.3">
      <c r="A40" s="594" t="s">
        <v>486</v>
      </c>
      <c r="B40" s="594" t="s">
        <v>482</v>
      </c>
      <c r="C40" s="595">
        <v>7750</v>
      </c>
      <c r="D40" s="590"/>
      <c r="E40" s="594" t="s">
        <v>1191</v>
      </c>
      <c r="F40" s="594" t="s">
        <v>1185</v>
      </c>
      <c r="G40" s="595">
        <v>7750</v>
      </c>
      <c r="H40" s="596" t="s">
        <v>1186</v>
      </c>
    </row>
    <row r="41" spans="1:8" ht="16.05" customHeight="1" x14ac:dyDescent="0.3">
      <c r="A41" s="597" t="s">
        <v>483</v>
      </c>
      <c r="B41" s="597" t="s">
        <v>482</v>
      </c>
      <c r="C41" s="598">
        <v>12937</v>
      </c>
      <c r="D41" s="590"/>
      <c r="E41" s="597" t="s">
        <v>1193</v>
      </c>
      <c r="F41" s="597" t="s">
        <v>1185</v>
      </c>
      <c r="G41" s="598">
        <v>12937</v>
      </c>
      <c r="H41" s="599" t="s">
        <v>1186</v>
      </c>
    </row>
    <row r="42" spans="1:8" ht="16.05" customHeight="1" x14ac:dyDescent="0.3">
      <c r="A42" s="594" t="s">
        <v>485</v>
      </c>
      <c r="B42" s="594" t="s">
        <v>487</v>
      </c>
      <c r="C42" s="595">
        <v>19195</v>
      </c>
      <c r="D42" s="590"/>
      <c r="E42" s="594" t="s">
        <v>1189</v>
      </c>
      <c r="F42" s="594" t="s">
        <v>1192</v>
      </c>
      <c r="G42" s="595">
        <v>19195</v>
      </c>
      <c r="H42" s="596" t="s">
        <v>1186</v>
      </c>
    </row>
    <row r="43" spans="1:8" ht="16.05" customHeight="1" x14ac:dyDescent="0.3">
      <c r="A43" s="597" t="s">
        <v>483</v>
      </c>
      <c r="B43" s="597" t="s">
        <v>487</v>
      </c>
      <c r="C43" s="598">
        <v>11859</v>
      </c>
      <c r="D43" s="590"/>
      <c r="E43" s="597" t="s">
        <v>1193</v>
      </c>
      <c r="F43" s="597" t="s">
        <v>1192</v>
      </c>
      <c r="G43" s="598">
        <v>11859</v>
      </c>
      <c r="H43" s="599" t="s">
        <v>1186</v>
      </c>
    </row>
    <row r="44" spans="1:8" ht="16.05" customHeight="1" x14ac:dyDescent="0.3">
      <c r="A44" s="590"/>
      <c r="B44" s="590"/>
      <c r="C44" s="590"/>
      <c r="D44" s="590"/>
      <c r="E44" s="600" t="s">
        <v>1191</v>
      </c>
      <c r="F44" s="600" t="s">
        <v>1190</v>
      </c>
      <c r="G44" s="601">
        <v>19740</v>
      </c>
      <c r="H44" s="602" t="s">
        <v>1195</v>
      </c>
    </row>
    <row r="45" spans="1:8" ht="16.05" customHeight="1" x14ac:dyDescent="0.3">
      <c r="A45" s="590"/>
      <c r="B45" s="590"/>
      <c r="C45" s="590"/>
      <c r="D45" s="590"/>
      <c r="E45" s="600" t="s">
        <v>1191</v>
      </c>
      <c r="F45" s="600" t="s">
        <v>1194</v>
      </c>
      <c r="G45" s="601">
        <v>15476</v>
      </c>
      <c r="H45" s="602" t="s">
        <v>1195</v>
      </c>
    </row>
    <row r="46" spans="1:8" ht="16.05" customHeight="1" x14ac:dyDescent="0.3">
      <c r="E46" s="600" t="s">
        <v>1187</v>
      </c>
      <c r="F46" s="600" t="s">
        <v>1194</v>
      </c>
      <c r="G46" s="601">
        <v>7285</v>
      </c>
      <c r="H46" s="602" t="s">
        <v>1195</v>
      </c>
    </row>
    <row r="47" spans="1:8" ht="16.05" customHeight="1" x14ac:dyDescent="0.3">
      <c r="E47" s="600" t="s">
        <v>1184</v>
      </c>
      <c r="F47" s="600" t="s">
        <v>1194</v>
      </c>
      <c r="G47" s="601">
        <v>11211</v>
      </c>
      <c r="H47" s="602" t="s">
        <v>1195</v>
      </c>
    </row>
  </sheetData>
  <conditionalFormatting sqref="E4:H47">
    <cfRule type="expression" dxfId="13" priority="1">
      <formula>$H4="🔴 Duplicate"</formula>
    </cfRule>
  </conditionalFormatting>
  <hyperlinks>
    <hyperlink ref="E1" location="Index!A1" display="Index!A1" xr:uid="{DC2D447D-B0BF-41AA-BDAB-29CD4DA86B36}"/>
    <hyperlink ref="I1" location="Index!A1" display="← Back to Index" xr:uid="{7F1B6560-9260-4790-9F5C-C3271775733F}"/>
  </hyperlink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A1:F41"/>
  <sheetViews>
    <sheetView workbookViewId="0"/>
  </sheetViews>
  <sheetFormatPr defaultRowHeight="14.4" x14ac:dyDescent="0.3"/>
  <cols>
    <col min="1" max="6" width="15" customWidth="1"/>
  </cols>
  <sheetData>
    <row r="1" spans="1:6" x14ac:dyDescent="0.3">
      <c r="A1" t="s">
        <v>102</v>
      </c>
      <c r="B1" t="s">
        <v>103</v>
      </c>
      <c r="C1" t="s">
        <v>104</v>
      </c>
      <c r="D1" t="s">
        <v>105</v>
      </c>
      <c r="E1" t="s">
        <v>106</v>
      </c>
      <c r="F1" t="s">
        <v>107</v>
      </c>
    </row>
    <row r="2" spans="1:6" x14ac:dyDescent="0.3">
      <c r="A2">
        <v>201</v>
      </c>
      <c r="B2" t="s">
        <v>108</v>
      </c>
      <c r="C2" t="s">
        <v>109</v>
      </c>
      <c r="D2">
        <v>45902</v>
      </c>
      <c r="E2">
        <v>5986</v>
      </c>
      <c r="F2">
        <v>2200</v>
      </c>
    </row>
    <row r="3" spans="1:6" x14ac:dyDescent="0.3">
      <c r="A3">
        <v>202</v>
      </c>
      <c r="B3" t="s">
        <v>110</v>
      </c>
      <c r="C3" t="s">
        <v>111</v>
      </c>
      <c r="D3">
        <v>53315</v>
      </c>
      <c r="E3">
        <v>2868</v>
      </c>
      <c r="F3">
        <v>1636</v>
      </c>
    </row>
    <row r="4" spans="1:6" x14ac:dyDescent="0.3">
      <c r="A4">
        <v>203</v>
      </c>
      <c r="B4" t="s">
        <v>112</v>
      </c>
      <c r="C4" t="s">
        <v>113</v>
      </c>
      <c r="D4">
        <v>40336</v>
      </c>
      <c r="E4">
        <v>5556</v>
      </c>
      <c r="F4">
        <v>2065</v>
      </c>
    </row>
    <row r="5" spans="1:6" x14ac:dyDescent="0.3">
      <c r="A5">
        <v>204</v>
      </c>
      <c r="B5" t="s">
        <v>48</v>
      </c>
      <c r="C5" t="s">
        <v>114</v>
      </c>
      <c r="D5">
        <v>48066</v>
      </c>
      <c r="E5">
        <v>2538</v>
      </c>
      <c r="F5">
        <v>2166</v>
      </c>
    </row>
    <row r="6" spans="1:6" x14ac:dyDescent="0.3">
      <c r="A6">
        <v>205</v>
      </c>
      <c r="B6" t="s">
        <v>115</v>
      </c>
      <c r="C6" t="s">
        <v>113</v>
      </c>
      <c r="D6">
        <v>57772</v>
      </c>
      <c r="E6">
        <v>2192</v>
      </c>
      <c r="F6">
        <v>768</v>
      </c>
    </row>
    <row r="7" spans="1:6" x14ac:dyDescent="0.3">
      <c r="A7">
        <v>206</v>
      </c>
      <c r="B7" t="s">
        <v>36</v>
      </c>
      <c r="C7" t="s">
        <v>109</v>
      </c>
      <c r="D7">
        <v>47690</v>
      </c>
      <c r="E7">
        <v>6945</v>
      </c>
      <c r="F7">
        <v>1912</v>
      </c>
    </row>
    <row r="8" spans="1:6" x14ac:dyDescent="0.3">
      <c r="A8">
        <v>207</v>
      </c>
      <c r="B8" t="s">
        <v>68</v>
      </c>
      <c r="C8" t="s">
        <v>116</v>
      </c>
      <c r="D8">
        <v>44668</v>
      </c>
      <c r="E8">
        <v>7649</v>
      </c>
      <c r="F8">
        <v>2734</v>
      </c>
    </row>
    <row r="9" spans="1:6" x14ac:dyDescent="0.3">
      <c r="A9">
        <v>208</v>
      </c>
      <c r="B9" t="s">
        <v>117</v>
      </c>
      <c r="C9" t="s">
        <v>114</v>
      </c>
      <c r="D9">
        <v>41888</v>
      </c>
      <c r="E9">
        <v>4455</v>
      </c>
      <c r="F9">
        <v>1771</v>
      </c>
    </row>
    <row r="10" spans="1:6" x14ac:dyDescent="0.3">
      <c r="A10">
        <v>209</v>
      </c>
      <c r="B10" t="s">
        <v>118</v>
      </c>
      <c r="C10" t="s">
        <v>113</v>
      </c>
      <c r="D10">
        <v>43908</v>
      </c>
      <c r="E10">
        <v>6913</v>
      </c>
      <c r="F10">
        <v>2077</v>
      </c>
    </row>
    <row r="11" spans="1:6" x14ac:dyDescent="0.3">
      <c r="A11">
        <v>210</v>
      </c>
      <c r="B11" t="s">
        <v>119</v>
      </c>
      <c r="C11" t="s">
        <v>114</v>
      </c>
      <c r="D11">
        <v>36734</v>
      </c>
      <c r="E11">
        <v>4610</v>
      </c>
      <c r="F11">
        <v>2769</v>
      </c>
    </row>
    <row r="12" spans="1:6" x14ac:dyDescent="0.3">
      <c r="A12">
        <v>211</v>
      </c>
      <c r="B12" t="s">
        <v>120</v>
      </c>
      <c r="C12" t="s">
        <v>109</v>
      </c>
      <c r="D12">
        <v>38287</v>
      </c>
      <c r="E12">
        <v>3133</v>
      </c>
      <c r="F12">
        <v>2437</v>
      </c>
    </row>
    <row r="13" spans="1:6" x14ac:dyDescent="0.3">
      <c r="A13">
        <v>212</v>
      </c>
      <c r="B13" t="s">
        <v>18</v>
      </c>
      <c r="C13" t="s">
        <v>113</v>
      </c>
      <c r="D13">
        <v>39777</v>
      </c>
      <c r="E13">
        <v>7294</v>
      </c>
      <c r="F13">
        <v>2153</v>
      </c>
    </row>
    <row r="14" spans="1:6" x14ac:dyDescent="0.3">
      <c r="A14">
        <v>213</v>
      </c>
      <c r="B14" t="s">
        <v>121</v>
      </c>
      <c r="C14" t="s">
        <v>111</v>
      </c>
      <c r="D14">
        <v>59520</v>
      </c>
      <c r="E14">
        <v>5571</v>
      </c>
      <c r="F14">
        <v>1030</v>
      </c>
    </row>
    <row r="15" spans="1:6" x14ac:dyDescent="0.3">
      <c r="A15">
        <v>214</v>
      </c>
      <c r="B15" t="s">
        <v>54</v>
      </c>
      <c r="C15" t="s">
        <v>116</v>
      </c>
      <c r="D15">
        <v>35046</v>
      </c>
      <c r="E15">
        <v>4841</v>
      </c>
      <c r="F15">
        <v>1237</v>
      </c>
    </row>
    <row r="16" spans="1:6" x14ac:dyDescent="0.3">
      <c r="A16">
        <v>215</v>
      </c>
      <c r="B16" t="s">
        <v>108</v>
      </c>
      <c r="C16" t="s">
        <v>116</v>
      </c>
      <c r="D16">
        <v>36950</v>
      </c>
      <c r="E16">
        <v>3436</v>
      </c>
      <c r="F16">
        <v>1077</v>
      </c>
    </row>
    <row r="17" spans="1:6" x14ac:dyDescent="0.3">
      <c r="A17">
        <v>216</v>
      </c>
      <c r="B17" t="s">
        <v>122</v>
      </c>
      <c r="C17" t="s">
        <v>116</v>
      </c>
      <c r="D17">
        <v>56514</v>
      </c>
      <c r="E17">
        <v>2786</v>
      </c>
      <c r="F17">
        <v>1310</v>
      </c>
    </row>
    <row r="18" spans="1:6" x14ac:dyDescent="0.3">
      <c r="A18">
        <v>217</v>
      </c>
      <c r="B18" t="s">
        <v>123</v>
      </c>
      <c r="C18" t="s">
        <v>124</v>
      </c>
      <c r="D18">
        <v>38970</v>
      </c>
      <c r="E18">
        <v>3712</v>
      </c>
      <c r="F18">
        <v>2225</v>
      </c>
    </row>
    <row r="19" spans="1:6" x14ac:dyDescent="0.3">
      <c r="A19">
        <v>218</v>
      </c>
      <c r="B19" t="s">
        <v>66</v>
      </c>
      <c r="C19" t="s">
        <v>116</v>
      </c>
      <c r="D19">
        <v>54292</v>
      </c>
      <c r="E19">
        <v>4927</v>
      </c>
      <c r="F19">
        <v>1456</v>
      </c>
    </row>
    <row r="20" spans="1:6" x14ac:dyDescent="0.3">
      <c r="A20">
        <v>219</v>
      </c>
      <c r="B20" t="s">
        <v>123</v>
      </c>
      <c r="C20" t="s">
        <v>124</v>
      </c>
      <c r="D20">
        <v>56529</v>
      </c>
      <c r="E20">
        <v>2563</v>
      </c>
      <c r="F20">
        <v>513</v>
      </c>
    </row>
    <row r="21" spans="1:6" x14ac:dyDescent="0.3">
      <c r="A21">
        <v>220</v>
      </c>
      <c r="B21" t="s">
        <v>125</v>
      </c>
      <c r="C21" t="s">
        <v>114</v>
      </c>
      <c r="D21">
        <v>48126</v>
      </c>
      <c r="E21">
        <v>4876</v>
      </c>
      <c r="F21">
        <v>1770</v>
      </c>
    </row>
    <row r="22" spans="1:6" x14ac:dyDescent="0.3">
      <c r="A22">
        <v>221</v>
      </c>
      <c r="B22" t="s">
        <v>126</v>
      </c>
      <c r="C22" t="s">
        <v>124</v>
      </c>
      <c r="D22">
        <v>31222</v>
      </c>
      <c r="E22">
        <v>3960</v>
      </c>
      <c r="F22">
        <v>2542</v>
      </c>
    </row>
    <row r="23" spans="1:6" x14ac:dyDescent="0.3">
      <c r="A23">
        <v>222</v>
      </c>
      <c r="B23" t="s">
        <v>66</v>
      </c>
      <c r="C23" t="s">
        <v>111</v>
      </c>
      <c r="D23">
        <v>57378</v>
      </c>
      <c r="E23">
        <v>3896</v>
      </c>
      <c r="F23">
        <v>2367</v>
      </c>
    </row>
    <row r="24" spans="1:6" x14ac:dyDescent="0.3">
      <c r="A24">
        <v>223</v>
      </c>
      <c r="B24" t="s">
        <v>127</v>
      </c>
      <c r="C24" t="s">
        <v>109</v>
      </c>
      <c r="D24">
        <v>34006</v>
      </c>
      <c r="E24">
        <v>3339</v>
      </c>
      <c r="F24">
        <v>975</v>
      </c>
    </row>
    <row r="25" spans="1:6" x14ac:dyDescent="0.3">
      <c r="A25">
        <v>224</v>
      </c>
      <c r="B25" t="s">
        <v>52</v>
      </c>
      <c r="C25" t="s">
        <v>124</v>
      </c>
      <c r="D25">
        <v>57229</v>
      </c>
      <c r="E25">
        <v>5283</v>
      </c>
      <c r="F25">
        <v>1411</v>
      </c>
    </row>
    <row r="26" spans="1:6" x14ac:dyDescent="0.3">
      <c r="A26">
        <v>225</v>
      </c>
      <c r="B26" t="s">
        <v>128</v>
      </c>
      <c r="C26" t="s">
        <v>124</v>
      </c>
      <c r="D26">
        <v>56586</v>
      </c>
      <c r="E26">
        <v>7662</v>
      </c>
      <c r="F26">
        <v>1134</v>
      </c>
    </row>
    <row r="27" spans="1:6" x14ac:dyDescent="0.3">
      <c r="A27">
        <v>226</v>
      </c>
      <c r="B27" t="s">
        <v>18</v>
      </c>
      <c r="C27" t="s">
        <v>111</v>
      </c>
      <c r="D27">
        <v>38561</v>
      </c>
      <c r="E27">
        <v>7993</v>
      </c>
      <c r="F27">
        <v>1251</v>
      </c>
    </row>
    <row r="28" spans="1:6" x14ac:dyDescent="0.3">
      <c r="A28">
        <v>227</v>
      </c>
      <c r="B28" t="s">
        <v>52</v>
      </c>
      <c r="C28" t="s">
        <v>114</v>
      </c>
      <c r="D28">
        <v>55172</v>
      </c>
      <c r="E28">
        <v>6799</v>
      </c>
      <c r="F28">
        <v>1449</v>
      </c>
    </row>
    <row r="29" spans="1:6" x14ac:dyDescent="0.3">
      <c r="A29">
        <v>228</v>
      </c>
      <c r="B29" t="s">
        <v>127</v>
      </c>
      <c r="C29" t="s">
        <v>111</v>
      </c>
      <c r="D29">
        <v>51366</v>
      </c>
      <c r="E29">
        <v>3206</v>
      </c>
      <c r="F29">
        <v>837</v>
      </c>
    </row>
    <row r="30" spans="1:6" x14ac:dyDescent="0.3">
      <c r="A30">
        <v>229</v>
      </c>
      <c r="B30" t="s">
        <v>129</v>
      </c>
      <c r="C30" t="s">
        <v>111</v>
      </c>
      <c r="D30">
        <v>48893</v>
      </c>
      <c r="E30">
        <v>5104</v>
      </c>
      <c r="F30">
        <v>1986</v>
      </c>
    </row>
    <row r="31" spans="1:6" x14ac:dyDescent="0.3">
      <c r="A31">
        <v>230</v>
      </c>
      <c r="B31" t="s">
        <v>130</v>
      </c>
      <c r="C31" t="s">
        <v>114</v>
      </c>
      <c r="D31">
        <v>58284</v>
      </c>
      <c r="E31">
        <v>2731</v>
      </c>
      <c r="F31">
        <v>1903</v>
      </c>
    </row>
    <row r="32" spans="1:6" x14ac:dyDescent="0.3">
      <c r="A32">
        <v>231</v>
      </c>
      <c r="B32" t="s">
        <v>50</v>
      </c>
      <c r="C32" t="s">
        <v>111</v>
      </c>
      <c r="D32">
        <v>54657</v>
      </c>
      <c r="E32">
        <v>7352</v>
      </c>
      <c r="F32">
        <v>1175</v>
      </c>
    </row>
    <row r="33" spans="1:6" x14ac:dyDescent="0.3">
      <c r="A33">
        <v>232</v>
      </c>
      <c r="B33" t="s">
        <v>123</v>
      </c>
      <c r="C33" t="s">
        <v>113</v>
      </c>
      <c r="D33">
        <v>42466</v>
      </c>
      <c r="E33">
        <v>5742</v>
      </c>
      <c r="F33">
        <v>508</v>
      </c>
    </row>
    <row r="34" spans="1:6" x14ac:dyDescent="0.3">
      <c r="A34">
        <v>233</v>
      </c>
      <c r="B34" t="s">
        <v>131</v>
      </c>
      <c r="C34" t="s">
        <v>124</v>
      </c>
      <c r="D34">
        <v>48182</v>
      </c>
      <c r="E34">
        <v>4759</v>
      </c>
      <c r="F34">
        <v>2165</v>
      </c>
    </row>
    <row r="35" spans="1:6" x14ac:dyDescent="0.3">
      <c r="A35">
        <v>234</v>
      </c>
      <c r="B35" t="s">
        <v>108</v>
      </c>
      <c r="C35" t="s">
        <v>111</v>
      </c>
      <c r="D35">
        <v>54698</v>
      </c>
      <c r="E35">
        <v>2279</v>
      </c>
      <c r="F35">
        <v>1563</v>
      </c>
    </row>
    <row r="36" spans="1:6" x14ac:dyDescent="0.3">
      <c r="A36">
        <v>235</v>
      </c>
      <c r="B36" t="s">
        <v>13</v>
      </c>
      <c r="C36" t="s">
        <v>111</v>
      </c>
      <c r="D36">
        <v>44810</v>
      </c>
      <c r="E36">
        <v>3316</v>
      </c>
      <c r="F36">
        <v>2900</v>
      </c>
    </row>
    <row r="37" spans="1:6" x14ac:dyDescent="0.3">
      <c r="A37">
        <v>236</v>
      </c>
      <c r="B37" t="s">
        <v>132</v>
      </c>
      <c r="C37" t="s">
        <v>111</v>
      </c>
      <c r="D37">
        <v>30229</v>
      </c>
      <c r="E37">
        <v>2149</v>
      </c>
      <c r="F37">
        <v>1826</v>
      </c>
    </row>
    <row r="38" spans="1:6" x14ac:dyDescent="0.3">
      <c r="A38">
        <v>237</v>
      </c>
      <c r="B38" t="s">
        <v>133</v>
      </c>
      <c r="C38" t="s">
        <v>124</v>
      </c>
      <c r="D38">
        <v>35765</v>
      </c>
      <c r="E38">
        <v>4719</v>
      </c>
      <c r="F38">
        <v>1517</v>
      </c>
    </row>
    <row r="39" spans="1:6" x14ac:dyDescent="0.3">
      <c r="A39">
        <v>238</v>
      </c>
      <c r="B39" t="s">
        <v>123</v>
      </c>
      <c r="C39" t="s">
        <v>114</v>
      </c>
      <c r="D39">
        <v>37955</v>
      </c>
      <c r="E39">
        <v>2713</v>
      </c>
      <c r="F39">
        <v>1686</v>
      </c>
    </row>
    <row r="40" spans="1:6" x14ac:dyDescent="0.3">
      <c r="A40">
        <v>239</v>
      </c>
      <c r="B40" t="s">
        <v>132</v>
      </c>
      <c r="C40" t="s">
        <v>114</v>
      </c>
      <c r="D40">
        <v>54704</v>
      </c>
      <c r="E40">
        <v>6984</v>
      </c>
      <c r="F40">
        <v>1240</v>
      </c>
    </row>
    <row r="41" spans="1:6" x14ac:dyDescent="0.3">
      <c r="A41">
        <v>240</v>
      </c>
      <c r="B41" t="s">
        <v>125</v>
      </c>
      <c r="C41" t="s">
        <v>116</v>
      </c>
      <c r="D41">
        <v>47808</v>
      </c>
      <c r="E41">
        <v>4561</v>
      </c>
      <c r="F41">
        <v>2892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A87D-42A1-4101-9FCF-0B9F32434417}">
  <sheetPr>
    <tabColor theme="5" tint="0.79998168889431442"/>
  </sheetPr>
  <dimension ref="A1:H47"/>
  <sheetViews>
    <sheetView workbookViewId="0">
      <pane ySplit="1" topLeftCell="A2" activePane="bottomLeft" state="frozen"/>
      <selection sqref="A1:L1"/>
      <selection pane="bottomLeft" activeCell="A2" sqref="A2"/>
    </sheetView>
  </sheetViews>
  <sheetFormatPr defaultRowHeight="14.4" x14ac:dyDescent="0.3"/>
  <cols>
    <col min="1" max="1" width="9" customWidth="1"/>
    <col min="2" max="2" width="18" customWidth="1"/>
    <col min="3" max="4" width="14" customWidth="1"/>
    <col min="5" max="5" width="12" customWidth="1"/>
    <col min="6" max="6" width="14" customWidth="1"/>
    <col min="7" max="7" width="15" customWidth="1"/>
    <col min="8" max="8" width="18" customWidth="1"/>
  </cols>
  <sheetData>
    <row r="1" spans="1:8" ht="22.05" customHeight="1" x14ac:dyDescent="0.3">
      <c r="A1" s="603" t="s">
        <v>102</v>
      </c>
      <c r="B1" s="603" t="s">
        <v>103</v>
      </c>
      <c r="C1" s="603" t="s">
        <v>104</v>
      </c>
      <c r="D1" s="603" t="s">
        <v>105</v>
      </c>
      <c r="E1" s="603" t="s">
        <v>106</v>
      </c>
      <c r="F1" s="603" t="s">
        <v>107</v>
      </c>
      <c r="G1" s="604" t="s">
        <v>1196</v>
      </c>
      <c r="H1" s="586" t="s">
        <v>1178</v>
      </c>
    </row>
    <row r="2" spans="1:8" ht="18" customHeight="1" x14ac:dyDescent="0.3">
      <c r="A2" s="605">
        <v>201</v>
      </c>
      <c r="B2" s="594" t="s">
        <v>108</v>
      </c>
      <c r="C2" s="594" t="s">
        <v>109</v>
      </c>
      <c r="D2" s="595">
        <v>45902</v>
      </c>
      <c r="E2" s="595">
        <v>5986</v>
      </c>
      <c r="F2" s="595">
        <v>2200</v>
      </c>
      <c r="G2" s="606">
        <f t="shared" ref="G2:G41" si="0">D2+E2-F2</f>
        <v>49688</v>
      </c>
    </row>
    <row r="3" spans="1:8" ht="18" customHeight="1" x14ac:dyDescent="0.3">
      <c r="A3" s="607">
        <v>202</v>
      </c>
      <c r="B3" s="597" t="s">
        <v>110</v>
      </c>
      <c r="C3" s="597" t="s">
        <v>111</v>
      </c>
      <c r="D3" s="598">
        <v>53315</v>
      </c>
      <c r="E3" s="598">
        <v>2868</v>
      </c>
      <c r="F3" s="598">
        <v>1636</v>
      </c>
      <c r="G3" s="608">
        <f t="shared" si="0"/>
        <v>54547</v>
      </c>
    </row>
    <row r="4" spans="1:8" ht="18" customHeight="1" x14ac:dyDescent="0.3">
      <c r="A4" s="605">
        <v>203</v>
      </c>
      <c r="B4" s="594" t="s">
        <v>112</v>
      </c>
      <c r="C4" s="594" t="s">
        <v>113</v>
      </c>
      <c r="D4" s="595">
        <v>40336</v>
      </c>
      <c r="E4" s="595">
        <v>5556</v>
      </c>
      <c r="F4" s="595">
        <v>2065</v>
      </c>
      <c r="G4" s="606">
        <f t="shared" si="0"/>
        <v>43827</v>
      </c>
    </row>
    <row r="5" spans="1:8" ht="18" customHeight="1" x14ac:dyDescent="0.3">
      <c r="A5" s="607">
        <v>204</v>
      </c>
      <c r="B5" s="597" t="s">
        <v>48</v>
      </c>
      <c r="C5" s="597" t="s">
        <v>114</v>
      </c>
      <c r="D5" s="598">
        <v>48066</v>
      </c>
      <c r="E5" s="598">
        <v>2538</v>
      </c>
      <c r="F5" s="598">
        <v>2166</v>
      </c>
      <c r="G5" s="608">
        <f t="shared" si="0"/>
        <v>48438</v>
      </c>
    </row>
    <row r="6" spans="1:8" ht="18" customHeight="1" x14ac:dyDescent="0.3">
      <c r="A6" s="605">
        <v>205</v>
      </c>
      <c r="B6" s="594" t="s">
        <v>115</v>
      </c>
      <c r="C6" s="594" t="s">
        <v>113</v>
      </c>
      <c r="D6" s="595">
        <v>57772</v>
      </c>
      <c r="E6" s="595">
        <v>2192</v>
      </c>
      <c r="F6" s="595">
        <v>768</v>
      </c>
      <c r="G6" s="606">
        <f t="shared" si="0"/>
        <v>59196</v>
      </c>
    </row>
    <row r="7" spans="1:8" ht="18" customHeight="1" x14ac:dyDescent="0.3">
      <c r="A7" s="607">
        <v>206</v>
      </c>
      <c r="B7" s="597" t="s">
        <v>36</v>
      </c>
      <c r="C7" s="597" t="s">
        <v>109</v>
      </c>
      <c r="D7" s="598">
        <v>47690</v>
      </c>
      <c r="E7" s="598">
        <v>6945</v>
      </c>
      <c r="F7" s="598">
        <v>1912</v>
      </c>
      <c r="G7" s="608">
        <f t="shared" si="0"/>
        <v>52723</v>
      </c>
    </row>
    <row r="8" spans="1:8" ht="18" customHeight="1" x14ac:dyDescent="0.3">
      <c r="A8" s="605">
        <v>207</v>
      </c>
      <c r="B8" s="594" t="s">
        <v>68</v>
      </c>
      <c r="C8" s="594" t="s">
        <v>116</v>
      </c>
      <c r="D8" s="595">
        <v>44668</v>
      </c>
      <c r="E8" s="595">
        <v>7649</v>
      </c>
      <c r="F8" s="595">
        <v>2734</v>
      </c>
      <c r="G8" s="606">
        <f t="shared" si="0"/>
        <v>49583</v>
      </c>
    </row>
    <row r="9" spans="1:8" ht="18" customHeight="1" x14ac:dyDescent="0.3">
      <c r="A9" s="607">
        <v>208</v>
      </c>
      <c r="B9" s="597" t="s">
        <v>117</v>
      </c>
      <c r="C9" s="597" t="s">
        <v>114</v>
      </c>
      <c r="D9" s="598">
        <v>41888</v>
      </c>
      <c r="E9" s="598">
        <v>4455</v>
      </c>
      <c r="F9" s="598">
        <v>1771</v>
      </c>
      <c r="G9" s="608">
        <f t="shared" si="0"/>
        <v>44572</v>
      </c>
    </row>
    <row r="10" spans="1:8" ht="18" customHeight="1" x14ac:dyDescent="0.3">
      <c r="A10" s="605">
        <v>209</v>
      </c>
      <c r="B10" s="594" t="s">
        <v>118</v>
      </c>
      <c r="C10" s="594" t="s">
        <v>113</v>
      </c>
      <c r="D10" s="595">
        <v>43908</v>
      </c>
      <c r="E10" s="595">
        <v>6913</v>
      </c>
      <c r="F10" s="595">
        <v>2077</v>
      </c>
      <c r="G10" s="606">
        <f t="shared" si="0"/>
        <v>48744</v>
      </c>
    </row>
    <row r="11" spans="1:8" ht="18" customHeight="1" x14ac:dyDescent="0.3">
      <c r="A11" s="607">
        <v>210</v>
      </c>
      <c r="B11" s="597" t="s">
        <v>119</v>
      </c>
      <c r="C11" s="597" t="s">
        <v>114</v>
      </c>
      <c r="D11" s="598">
        <v>36734</v>
      </c>
      <c r="E11" s="598">
        <v>4610</v>
      </c>
      <c r="F11" s="598">
        <v>2769</v>
      </c>
      <c r="G11" s="608">
        <f t="shared" si="0"/>
        <v>38575</v>
      </c>
    </row>
    <row r="12" spans="1:8" ht="18" customHeight="1" x14ac:dyDescent="0.3">
      <c r="A12" s="605">
        <v>211</v>
      </c>
      <c r="B12" s="594" t="s">
        <v>120</v>
      </c>
      <c r="C12" s="594" t="s">
        <v>109</v>
      </c>
      <c r="D12" s="595">
        <v>38287</v>
      </c>
      <c r="E12" s="595">
        <v>3133</v>
      </c>
      <c r="F12" s="595">
        <v>2437</v>
      </c>
      <c r="G12" s="606">
        <f t="shared" si="0"/>
        <v>38983</v>
      </c>
    </row>
    <row r="13" spans="1:8" ht="18" customHeight="1" x14ac:dyDescent="0.3">
      <c r="A13" s="607">
        <v>212</v>
      </c>
      <c r="B13" s="597" t="s">
        <v>18</v>
      </c>
      <c r="C13" s="597" t="s">
        <v>113</v>
      </c>
      <c r="D13" s="598">
        <v>39777</v>
      </c>
      <c r="E13" s="598">
        <v>7294</v>
      </c>
      <c r="F13" s="598">
        <v>2153</v>
      </c>
      <c r="G13" s="608">
        <f t="shared" si="0"/>
        <v>44918</v>
      </c>
    </row>
    <row r="14" spans="1:8" ht="18" customHeight="1" x14ac:dyDescent="0.3">
      <c r="A14" s="605">
        <v>213</v>
      </c>
      <c r="B14" s="594" t="s">
        <v>121</v>
      </c>
      <c r="C14" s="594" t="s">
        <v>111</v>
      </c>
      <c r="D14" s="595">
        <v>59520</v>
      </c>
      <c r="E14" s="595">
        <v>5571</v>
      </c>
      <c r="F14" s="595">
        <v>1030</v>
      </c>
      <c r="G14" s="606">
        <f t="shared" si="0"/>
        <v>64061</v>
      </c>
    </row>
    <row r="15" spans="1:8" ht="18" customHeight="1" x14ac:dyDescent="0.3">
      <c r="A15" s="607">
        <v>214</v>
      </c>
      <c r="B15" s="597" t="s">
        <v>54</v>
      </c>
      <c r="C15" s="597" t="s">
        <v>116</v>
      </c>
      <c r="D15" s="598">
        <v>35046</v>
      </c>
      <c r="E15" s="598">
        <v>4841</v>
      </c>
      <c r="F15" s="598">
        <v>1237</v>
      </c>
      <c r="G15" s="608">
        <f t="shared" si="0"/>
        <v>38650</v>
      </c>
    </row>
    <row r="16" spans="1:8" ht="18" customHeight="1" x14ac:dyDescent="0.3">
      <c r="A16" s="605">
        <v>215</v>
      </c>
      <c r="B16" s="594" t="s">
        <v>108</v>
      </c>
      <c r="C16" s="594" t="s">
        <v>116</v>
      </c>
      <c r="D16" s="595">
        <v>36950</v>
      </c>
      <c r="E16" s="595">
        <v>3436</v>
      </c>
      <c r="F16" s="595">
        <v>1077</v>
      </c>
      <c r="G16" s="606">
        <f t="shared" si="0"/>
        <v>39309</v>
      </c>
    </row>
    <row r="17" spans="1:7" ht="18" customHeight="1" x14ac:dyDescent="0.3">
      <c r="A17" s="607">
        <v>216</v>
      </c>
      <c r="B17" s="597" t="s">
        <v>122</v>
      </c>
      <c r="C17" s="597" t="s">
        <v>116</v>
      </c>
      <c r="D17" s="598">
        <v>56514</v>
      </c>
      <c r="E17" s="598">
        <v>2786</v>
      </c>
      <c r="F17" s="598">
        <v>1310</v>
      </c>
      <c r="G17" s="608">
        <f t="shared" si="0"/>
        <v>57990</v>
      </c>
    </row>
    <row r="18" spans="1:7" ht="18" customHeight="1" x14ac:dyDescent="0.3">
      <c r="A18" s="605">
        <v>217</v>
      </c>
      <c r="B18" s="594" t="s">
        <v>123</v>
      </c>
      <c r="C18" s="594" t="s">
        <v>124</v>
      </c>
      <c r="D18" s="595">
        <v>38970</v>
      </c>
      <c r="E18" s="595">
        <v>3712</v>
      </c>
      <c r="F18" s="595">
        <v>2225</v>
      </c>
      <c r="G18" s="606">
        <f t="shared" si="0"/>
        <v>40457</v>
      </c>
    </row>
    <row r="19" spans="1:7" ht="18" customHeight="1" x14ac:dyDescent="0.3">
      <c r="A19" s="607">
        <v>218</v>
      </c>
      <c r="B19" s="597" t="s">
        <v>66</v>
      </c>
      <c r="C19" s="597" t="s">
        <v>116</v>
      </c>
      <c r="D19" s="598">
        <v>54292</v>
      </c>
      <c r="E19" s="598">
        <v>4927</v>
      </c>
      <c r="F19" s="598">
        <v>1456</v>
      </c>
      <c r="G19" s="608">
        <f t="shared" si="0"/>
        <v>57763</v>
      </c>
    </row>
    <row r="20" spans="1:7" ht="18" customHeight="1" x14ac:dyDescent="0.3">
      <c r="A20" s="605">
        <v>219</v>
      </c>
      <c r="B20" s="594" t="s">
        <v>123</v>
      </c>
      <c r="C20" s="594" t="s">
        <v>124</v>
      </c>
      <c r="D20" s="595">
        <v>56529</v>
      </c>
      <c r="E20" s="595">
        <v>2563</v>
      </c>
      <c r="F20" s="595">
        <v>513</v>
      </c>
      <c r="G20" s="606">
        <f t="shared" si="0"/>
        <v>58579</v>
      </c>
    </row>
    <row r="21" spans="1:7" ht="18" customHeight="1" x14ac:dyDescent="0.3">
      <c r="A21" s="607">
        <v>220</v>
      </c>
      <c r="B21" s="597" t="s">
        <v>125</v>
      </c>
      <c r="C21" s="597" t="s">
        <v>114</v>
      </c>
      <c r="D21" s="598">
        <v>48126</v>
      </c>
      <c r="E21" s="598">
        <v>4876</v>
      </c>
      <c r="F21" s="598">
        <v>1770</v>
      </c>
      <c r="G21" s="608">
        <f t="shared" si="0"/>
        <v>51232</v>
      </c>
    </row>
    <row r="22" spans="1:7" ht="18" customHeight="1" x14ac:dyDescent="0.3">
      <c r="A22" s="605">
        <v>221</v>
      </c>
      <c r="B22" s="594" t="s">
        <v>126</v>
      </c>
      <c r="C22" s="594" t="s">
        <v>124</v>
      </c>
      <c r="D22" s="595">
        <v>31222</v>
      </c>
      <c r="E22" s="595">
        <v>3960</v>
      </c>
      <c r="F22" s="595">
        <v>2542</v>
      </c>
      <c r="G22" s="606">
        <f t="shared" si="0"/>
        <v>32640</v>
      </c>
    </row>
    <row r="23" spans="1:7" ht="18" customHeight="1" x14ac:dyDescent="0.3">
      <c r="A23" s="607">
        <v>222</v>
      </c>
      <c r="B23" s="597" t="s">
        <v>66</v>
      </c>
      <c r="C23" s="597" t="s">
        <v>111</v>
      </c>
      <c r="D23" s="598">
        <v>57378</v>
      </c>
      <c r="E23" s="598">
        <v>3896</v>
      </c>
      <c r="F23" s="598">
        <v>2367</v>
      </c>
      <c r="G23" s="608">
        <f t="shared" si="0"/>
        <v>58907</v>
      </c>
    </row>
    <row r="24" spans="1:7" ht="18" customHeight="1" x14ac:dyDescent="0.3">
      <c r="A24" s="605">
        <v>223</v>
      </c>
      <c r="B24" s="594" t="s">
        <v>127</v>
      </c>
      <c r="C24" s="594" t="s">
        <v>109</v>
      </c>
      <c r="D24" s="595">
        <v>34006</v>
      </c>
      <c r="E24" s="595">
        <v>3339</v>
      </c>
      <c r="F24" s="595">
        <v>975</v>
      </c>
      <c r="G24" s="606">
        <f t="shared" si="0"/>
        <v>36370</v>
      </c>
    </row>
    <row r="25" spans="1:7" ht="18" customHeight="1" x14ac:dyDescent="0.3">
      <c r="A25" s="607">
        <v>224</v>
      </c>
      <c r="B25" s="597" t="s">
        <v>52</v>
      </c>
      <c r="C25" s="597" t="s">
        <v>124</v>
      </c>
      <c r="D25" s="598">
        <v>57229</v>
      </c>
      <c r="E25" s="598">
        <v>5283</v>
      </c>
      <c r="F25" s="598">
        <v>1411</v>
      </c>
      <c r="G25" s="608">
        <f t="shared" si="0"/>
        <v>61101</v>
      </c>
    </row>
    <row r="26" spans="1:7" ht="18" customHeight="1" x14ac:dyDescent="0.3">
      <c r="A26" s="605">
        <v>225</v>
      </c>
      <c r="B26" s="594" t="s">
        <v>128</v>
      </c>
      <c r="C26" s="594" t="s">
        <v>124</v>
      </c>
      <c r="D26" s="595">
        <v>56586</v>
      </c>
      <c r="E26" s="595">
        <v>7662</v>
      </c>
      <c r="F26" s="595">
        <v>1134</v>
      </c>
      <c r="G26" s="606">
        <f t="shared" si="0"/>
        <v>63114</v>
      </c>
    </row>
    <row r="27" spans="1:7" ht="18" customHeight="1" x14ac:dyDescent="0.3">
      <c r="A27" s="607">
        <v>226</v>
      </c>
      <c r="B27" s="597" t="s">
        <v>18</v>
      </c>
      <c r="C27" s="597" t="s">
        <v>111</v>
      </c>
      <c r="D27" s="598">
        <v>38561</v>
      </c>
      <c r="E27" s="598">
        <v>7993</v>
      </c>
      <c r="F27" s="598">
        <v>1251</v>
      </c>
      <c r="G27" s="608">
        <f t="shared" si="0"/>
        <v>45303</v>
      </c>
    </row>
    <row r="28" spans="1:7" ht="18" customHeight="1" x14ac:dyDescent="0.3">
      <c r="A28" s="605">
        <v>227</v>
      </c>
      <c r="B28" s="594" t="s">
        <v>52</v>
      </c>
      <c r="C28" s="594" t="s">
        <v>114</v>
      </c>
      <c r="D28" s="595">
        <v>55172</v>
      </c>
      <c r="E28" s="595">
        <v>6799</v>
      </c>
      <c r="F28" s="595">
        <v>1449</v>
      </c>
      <c r="G28" s="606">
        <f t="shared" si="0"/>
        <v>60522</v>
      </c>
    </row>
    <row r="29" spans="1:7" ht="18" customHeight="1" x14ac:dyDescent="0.3">
      <c r="A29" s="607">
        <v>228</v>
      </c>
      <c r="B29" s="597" t="s">
        <v>127</v>
      </c>
      <c r="C29" s="597" t="s">
        <v>111</v>
      </c>
      <c r="D29" s="598">
        <v>51366</v>
      </c>
      <c r="E29" s="598">
        <v>3206</v>
      </c>
      <c r="F29" s="598">
        <v>837</v>
      </c>
      <c r="G29" s="608">
        <f t="shared" si="0"/>
        <v>53735</v>
      </c>
    </row>
    <row r="30" spans="1:7" ht="18" customHeight="1" x14ac:dyDescent="0.3">
      <c r="A30" s="605">
        <v>229</v>
      </c>
      <c r="B30" s="594" t="s">
        <v>129</v>
      </c>
      <c r="C30" s="594" t="s">
        <v>111</v>
      </c>
      <c r="D30" s="595">
        <v>48893</v>
      </c>
      <c r="E30" s="595">
        <v>5104</v>
      </c>
      <c r="F30" s="595">
        <v>1986</v>
      </c>
      <c r="G30" s="606">
        <f t="shared" si="0"/>
        <v>52011</v>
      </c>
    </row>
    <row r="31" spans="1:7" ht="18" customHeight="1" x14ac:dyDescent="0.3">
      <c r="A31" s="607">
        <v>230</v>
      </c>
      <c r="B31" s="597" t="s">
        <v>130</v>
      </c>
      <c r="C31" s="597" t="s">
        <v>114</v>
      </c>
      <c r="D31" s="598">
        <v>58284</v>
      </c>
      <c r="E31" s="598">
        <v>2731</v>
      </c>
      <c r="F31" s="598">
        <v>1903</v>
      </c>
      <c r="G31" s="608">
        <f t="shared" si="0"/>
        <v>59112</v>
      </c>
    </row>
    <row r="32" spans="1:7" ht="18" customHeight="1" x14ac:dyDescent="0.3">
      <c r="A32" s="605">
        <v>231</v>
      </c>
      <c r="B32" s="594" t="s">
        <v>50</v>
      </c>
      <c r="C32" s="594" t="s">
        <v>111</v>
      </c>
      <c r="D32" s="595">
        <v>54657</v>
      </c>
      <c r="E32" s="595">
        <v>7352</v>
      </c>
      <c r="F32" s="595">
        <v>1175</v>
      </c>
      <c r="G32" s="606">
        <f t="shared" si="0"/>
        <v>60834</v>
      </c>
    </row>
    <row r="33" spans="1:7" ht="18" customHeight="1" x14ac:dyDescent="0.3">
      <c r="A33" s="607">
        <v>232</v>
      </c>
      <c r="B33" s="597" t="s">
        <v>123</v>
      </c>
      <c r="C33" s="597" t="s">
        <v>113</v>
      </c>
      <c r="D33" s="598">
        <v>42466</v>
      </c>
      <c r="E33" s="598">
        <v>5742</v>
      </c>
      <c r="F33" s="598">
        <v>508</v>
      </c>
      <c r="G33" s="608">
        <f t="shared" si="0"/>
        <v>47700</v>
      </c>
    </row>
    <row r="34" spans="1:7" ht="18" customHeight="1" x14ac:dyDescent="0.3">
      <c r="A34" s="605">
        <v>233</v>
      </c>
      <c r="B34" s="594" t="s">
        <v>131</v>
      </c>
      <c r="C34" s="594" t="s">
        <v>124</v>
      </c>
      <c r="D34" s="595">
        <v>48182</v>
      </c>
      <c r="E34" s="595">
        <v>4759</v>
      </c>
      <c r="F34" s="595">
        <v>2165</v>
      </c>
      <c r="G34" s="606">
        <f t="shared" si="0"/>
        <v>50776</v>
      </c>
    </row>
    <row r="35" spans="1:7" ht="18" customHeight="1" x14ac:dyDescent="0.3">
      <c r="A35" s="607">
        <v>234</v>
      </c>
      <c r="B35" s="597" t="s">
        <v>108</v>
      </c>
      <c r="C35" s="597" t="s">
        <v>111</v>
      </c>
      <c r="D35" s="598">
        <v>54698</v>
      </c>
      <c r="E35" s="598">
        <v>2279</v>
      </c>
      <c r="F35" s="598">
        <v>1563</v>
      </c>
      <c r="G35" s="608">
        <f t="shared" si="0"/>
        <v>55414</v>
      </c>
    </row>
    <row r="36" spans="1:7" ht="18" customHeight="1" x14ac:dyDescent="0.3">
      <c r="A36" s="605">
        <v>235</v>
      </c>
      <c r="B36" s="594" t="s">
        <v>13</v>
      </c>
      <c r="C36" s="594" t="s">
        <v>111</v>
      </c>
      <c r="D36" s="595">
        <v>44810</v>
      </c>
      <c r="E36" s="595">
        <v>3316</v>
      </c>
      <c r="F36" s="595">
        <v>2900</v>
      </c>
      <c r="G36" s="606">
        <f t="shared" si="0"/>
        <v>45226</v>
      </c>
    </row>
    <row r="37" spans="1:7" ht="18" customHeight="1" x14ac:dyDescent="0.3">
      <c r="A37" s="607">
        <v>236</v>
      </c>
      <c r="B37" s="597" t="s">
        <v>132</v>
      </c>
      <c r="C37" s="597" t="s">
        <v>111</v>
      </c>
      <c r="D37" s="598">
        <v>30229</v>
      </c>
      <c r="E37" s="598">
        <v>2149</v>
      </c>
      <c r="F37" s="598">
        <v>1826</v>
      </c>
      <c r="G37" s="608">
        <f t="shared" si="0"/>
        <v>30552</v>
      </c>
    </row>
    <row r="38" spans="1:7" ht="18" customHeight="1" x14ac:dyDescent="0.3">
      <c r="A38" s="605">
        <v>237</v>
      </c>
      <c r="B38" s="594" t="s">
        <v>133</v>
      </c>
      <c r="C38" s="594" t="s">
        <v>124</v>
      </c>
      <c r="D38" s="595">
        <v>35765</v>
      </c>
      <c r="E38" s="595">
        <v>4719</v>
      </c>
      <c r="F38" s="595">
        <v>1517</v>
      </c>
      <c r="G38" s="606">
        <f t="shared" si="0"/>
        <v>38967</v>
      </c>
    </row>
    <row r="39" spans="1:7" ht="18" customHeight="1" x14ac:dyDescent="0.3">
      <c r="A39" s="607">
        <v>238</v>
      </c>
      <c r="B39" s="597" t="s">
        <v>123</v>
      </c>
      <c r="C39" s="597" t="s">
        <v>114</v>
      </c>
      <c r="D39" s="598">
        <v>37955</v>
      </c>
      <c r="E39" s="598">
        <v>2713</v>
      </c>
      <c r="F39" s="598">
        <v>1686</v>
      </c>
      <c r="G39" s="608">
        <f t="shared" si="0"/>
        <v>38982</v>
      </c>
    </row>
    <row r="40" spans="1:7" ht="18" customHeight="1" x14ac:dyDescent="0.3">
      <c r="A40" s="605">
        <v>239</v>
      </c>
      <c r="B40" s="594" t="s">
        <v>132</v>
      </c>
      <c r="C40" s="594" t="s">
        <v>114</v>
      </c>
      <c r="D40" s="595">
        <v>54704</v>
      </c>
      <c r="E40" s="595">
        <v>6984</v>
      </c>
      <c r="F40" s="595">
        <v>1240</v>
      </c>
      <c r="G40" s="606">
        <f t="shared" si="0"/>
        <v>60448</v>
      </c>
    </row>
    <row r="41" spans="1:7" ht="18" customHeight="1" x14ac:dyDescent="0.3">
      <c r="A41" s="607">
        <v>240</v>
      </c>
      <c r="B41" s="597" t="s">
        <v>125</v>
      </c>
      <c r="C41" s="597" t="s">
        <v>116</v>
      </c>
      <c r="D41" s="598">
        <v>47808</v>
      </c>
      <c r="E41" s="598">
        <v>4561</v>
      </c>
      <c r="F41" s="598">
        <v>2892</v>
      </c>
      <c r="G41" s="608">
        <f t="shared" si="0"/>
        <v>49477</v>
      </c>
    </row>
    <row r="43" spans="1:7" ht="7.95" customHeight="1" x14ac:dyDescent="0.3"/>
    <row r="44" spans="1:7" ht="18" customHeight="1" x14ac:dyDescent="0.3">
      <c r="F44" s="609" t="s">
        <v>1197</v>
      </c>
      <c r="G44" s="610">
        <f>SUM(G2:G41)</f>
        <v>1983026</v>
      </c>
    </row>
    <row r="45" spans="1:7" ht="18" customHeight="1" x14ac:dyDescent="0.3">
      <c r="F45" s="609" t="s">
        <v>1198</v>
      </c>
      <c r="G45" s="610">
        <f>MAX(G2:G41)</f>
        <v>64061</v>
      </c>
    </row>
    <row r="46" spans="1:7" ht="18" customHeight="1" x14ac:dyDescent="0.3">
      <c r="F46" s="609" t="s">
        <v>1199</v>
      </c>
      <c r="G46" s="610">
        <f>MIN(G2:G41)</f>
        <v>30552</v>
      </c>
    </row>
    <row r="47" spans="1:7" ht="18" customHeight="1" x14ac:dyDescent="0.3">
      <c r="F47" s="609" t="s">
        <v>1200</v>
      </c>
      <c r="G47" s="610">
        <f>AVERAGE(G2:G41)</f>
        <v>49575.65</v>
      </c>
    </row>
  </sheetData>
  <conditionalFormatting sqref="A2:F41">
    <cfRule type="expression" dxfId="12" priority="5">
      <formula>$G2&gt;=55000</formula>
    </cfRule>
    <cfRule type="expression" dxfId="11" priority="6">
      <formula>$G2&lt;40000</formula>
    </cfRule>
    <cfRule type="expression" dxfId="10" priority="7">
      <formula>AND($G2&gt;=40000,$G2&lt;55000)</formula>
    </cfRule>
  </conditionalFormatting>
  <conditionalFormatting sqref="A2:G41">
    <cfRule type="cellIs" priority="4" operator="greaterThanOrEqual">
      <formula>55000</formula>
    </cfRule>
  </conditionalFormatting>
  <conditionalFormatting sqref="G2:G41">
    <cfRule type="cellIs" dxfId="9" priority="1" operator="greaterThanOrEqual">
      <formula>55000</formula>
    </cfRule>
    <cfRule type="cellIs" dxfId="8" priority="2" operator="lessThan">
      <formula>40000</formula>
    </cfRule>
    <cfRule type="expression" dxfId="7" priority="3">
      <formula>AND(G2&gt;=40000,G2&lt;55000)</formula>
    </cfRule>
  </conditionalFormatting>
  <hyperlinks>
    <hyperlink ref="H1" location="Index!A1" display="← Back to Index" xr:uid="{6DC7DA1C-426B-4C4E-B2DC-5F1A00FBDB0B}"/>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4898-FF53-4C06-946D-56007491F4F4}">
  <sheetPr>
    <tabColor theme="5" tint="0.79998168889431442"/>
  </sheetPr>
  <dimension ref="A1:L57"/>
  <sheetViews>
    <sheetView workbookViewId="0">
      <pane ySplit="4" topLeftCell="A5" activePane="bottomLeft" state="frozen"/>
      <selection activeCell="A5" sqref="A5"/>
      <selection pane="bottomLeft" activeCell="A5" sqref="A5"/>
    </sheetView>
  </sheetViews>
  <sheetFormatPr defaultRowHeight="14.4" x14ac:dyDescent="0.3"/>
  <cols>
    <col min="1" max="1" width="5" customWidth="1"/>
    <col min="2" max="2" width="14" customWidth="1"/>
    <col min="3" max="3" width="9" customWidth="1"/>
    <col min="4" max="4" width="17" customWidth="1"/>
    <col min="5" max="5" width="14" customWidth="1"/>
    <col min="6" max="6" width="18" customWidth="1"/>
    <col min="7" max="7" width="17" customWidth="1"/>
    <col min="8" max="8" width="14" customWidth="1"/>
    <col min="9" max="9" width="12" customWidth="1"/>
    <col min="10" max="10" width="17" customWidth="1"/>
    <col min="11" max="11" width="15" customWidth="1"/>
    <col min="12" max="12" width="13" customWidth="1"/>
  </cols>
  <sheetData>
    <row r="1" spans="1:12" ht="34.049999999999997" customHeight="1" x14ac:dyDescent="0.3">
      <c r="A1" s="714" t="s">
        <v>494</v>
      </c>
      <c r="B1" s="708"/>
      <c r="C1" s="708"/>
      <c r="D1" s="708"/>
      <c r="E1" s="708"/>
      <c r="F1" s="708"/>
      <c r="G1" s="708"/>
      <c r="H1" s="708"/>
      <c r="I1" s="708"/>
      <c r="J1" s="708"/>
      <c r="K1" s="708"/>
      <c r="L1" s="708"/>
    </row>
    <row r="2" spans="1:12" ht="19.95" customHeight="1" x14ac:dyDescent="0.3">
      <c r="A2" s="715" t="s">
        <v>495</v>
      </c>
      <c r="B2" s="708"/>
      <c r="C2" s="708"/>
      <c r="D2" s="708"/>
      <c r="E2" s="708"/>
      <c r="F2" s="708"/>
      <c r="G2" s="708"/>
      <c r="H2" s="708"/>
      <c r="I2" s="708"/>
      <c r="J2" s="708"/>
      <c r="K2" s="708"/>
      <c r="L2" s="708"/>
    </row>
    <row r="3" spans="1:12" ht="19.95" customHeight="1" x14ac:dyDescent="0.3">
      <c r="A3" s="716" t="s">
        <v>496</v>
      </c>
      <c r="B3" s="708"/>
      <c r="C3" s="708"/>
      <c r="D3" s="708"/>
      <c r="E3" s="708"/>
      <c r="F3" s="708"/>
      <c r="G3" s="708"/>
      <c r="H3" s="708"/>
      <c r="I3" s="708"/>
      <c r="J3" s="708"/>
      <c r="K3" s="708"/>
      <c r="L3" s="708"/>
    </row>
    <row r="4" spans="1:12" ht="30" customHeight="1" x14ac:dyDescent="0.3">
      <c r="A4" s="43" t="s">
        <v>479</v>
      </c>
      <c r="B4" s="43" t="s">
        <v>104</v>
      </c>
      <c r="C4" s="43" t="s">
        <v>497</v>
      </c>
      <c r="D4" s="43" t="s">
        <v>498</v>
      </c>
      <c r="E4" s="43" t="s">
        <v>499</v>
      </c>
      <c r="F4" s="43" t="s">
        <v>500</v>
      </c>
      <c r="G4" s="43" t="s">
        <v>501</v>
      </c>
      <c r="H4" s="43" t="s">
        <v>502</v>
      </c>
      <c r="I4" s="43" t="s">
        <v>503</v>
      </c>
      <c r="J4" s="43" t="s">
        <v>504</v>
      </c>
      <c r="K4" s="43" t="s">
        <v>505</v>
      </c>
      <c r="L4" s="43" t="s">
        <v>506</v>
      </c>
    </row>
    <row r="5" spans="1:12" ht="19.95" customHeight="1" x14ac:dyDescent="0.3">
      <c r="A5" s="44">
        <v>1</v>
      </c>
      <c r="B5" s="45" t="s">
        <v>111</v>
      </c>
      <c r="C5" s="46">
        <v>10</v>
      </c>
      <c r="D5" s="47">
        <v>493427</v>
      </c>
      <c r="E5" s="48">
        <v>43734</v>
      </c>
      <c r="F5" s="49">
        <v>16571</v>
      </c>
      <c r="G5" s="50">
        <v>520590</v>
      </c>
      <c r="H5" s="51">
        <v>49342</v>
      </c>
      <c r="I5" s="48">
        <v>4373</v>
      </c>
      <c r="J5" s="49">
        <v>1657</v>
      </c>
      <c r="K5" s="50">
        <v>52059</v>
      </c>
      <c r="L5" s="52">
        <v>30552</v>
      </c>
    </row>
    <row r="6" spans="1:12" ht="19.95" customHeight="1" x14ac:dyDescent="0.3">
      <c r="A6" s="44">
        <v>2</v>
      </c>
      <c r="B6" s="53" t="s">
        <v>114</v>
      </c>
      <c r="C6" s="54">
        <v>8</v>
      </c>
      <c r="D6" s="55">
        <v>380929</v>
      </c>
      <c r="E6" s="56">
        <v>35706</v>
      </c>
      <c r="F6" s="57">
        <v>14754</v>
      </c>
      <c r="G6" s="58">
        <v>401881</v>
      </c>
      <c r="H6" s="59">
        <v>47616</v>
      </c>
      <c r="I6" s="56">
        <v>4463</v>
      </c>
      <c r="J6" s="57">
        <v>1844</v>
      </c>
      <c r="K6" s="58">
        <v>50235</v>
      </c>
      <c r="L6" s="60">
        <v>38575</v>
      </c>
    </row>
    <row r="7" spans="1:12" ht="19.95" customHeight="1" x14ac:dyDescent="0.3">
      <c r="A7" s="44">
        <v>3</v>
      </c>
      <c r="B7" s="61" t="s">
        <v>124</v>
      </c>
      <c r="C7" s="62">
        <v>7</v>
      </c>
      <c r="D7" s="63">
        <v>324483</v>
      </c>
      <c r="E7" s="64">
        <v>32658</v>
      </c>
      <c r="F7" s="65">
        <v>11507</v>
      </c>
      <c r="G7" s="66">
        <v>345634</v>
      </c>
      <c r="H7" s="67">
        <v>46354</v>
      </c>
      <c r="I7" s="64">
        <v>4665</v>
      </c>
      <c r="J7" s="65">
        <v>1643</v>
      </c>
      <c r="K7" s="66">
        <v>49376</v>
      </c>
      <c r="L7" s="68">
        <v>32640</v>
      </c>
    </row>
    <row r="8" spans="1:12" ht="19.95" customHeight="1" x14ac:dyDescent="0.3">
      <c r="A8" s="44">
        <v>4</v>
      </c>
      <c r="B8" s="69" t="s">
        <v>116</v>
      </c>
      <c r="C8" s="70">
        <v>6</v>
      </c>
      <c r="D8" s="71">
        <v>275278</v>
      </c>
      <c r="E8" s="72">
        <v>28200</v>
      </c>
      <c r="F8" s="73">
        <v>10706</v>
      </c>
      <c r="G8" s="74">
        <v>292772</v>
      </c>
      <c r="H8" s="75">
        <v>45879</v>
      </c>
      <c r="I8" s="72">
        <v>4700</v>
      </c>
      <c r="J8" s="73">
        <v>1784</v>
      </c>
      <c r="K8" s="74">
        <v>48795</v>
      </c>
      <c r="L8" s="76">
        <v>38650</v>
      </c>
    </row>
    <row r="9" spans="1:12" ht="19.95" customHeight="1" x14ac:dyDescent="0.3">
      <c r="A9" s="44">
        <v>5</v>
      </c>
      <c r="B9" s="77" t="s">
        <v>113</v>
      </c>
      <c r="C9" s="78">
        <v>5</v>
      </c>
      <c r="D9" s="79">
        <v>224259</v>
      </c>
      <c r="E9" s="80">
        <v>27697</v>
      </c>
      <c r="F9" s="81">
        <v>7571</v>
      </c>
      <c r="G9" s="82">
        <v>244385</v>
      </c>
      <c r="H9" s="83">
        <v>44851</v>
      </c>
      <c r="I9" s="80">
        <v>5539</v>
      </c>
      <c r="J9" s="81">
        <v>1514</v>
      </c>
      <c r="K9" s="82">
        <v>48877</v>
      </c>
      <c r="L9" s="84">
        <v>43827</v>
      </c>
    </row>
    <row r="10" spans="1:12" ht="19.95" customHeight="1" thickBot="1" x14ac:dyDescent="0.35">
      <c r="A10" s="44">
        <v>6</v>
      </c>
      <c r="B10" s="85" t="s">
        <v>109</v>
      </c>
      <c r="C10" s="86">
        <v>4</v>
      </c>
      <c r="D10" s="87">
        <v>165885</v>
      </c>
      <c r="E10" s="88">
        <v>19403</v>
      </c>
      <c r="F10" s="89">
        <v>7524</v>
      </c>
      <c r="G10" s="90">
        <v>177764</v>
      </c>
      <c r="H10" s="91">
        <v>41471</v>
      </c>
      <c r="I10" s="88">
        <v>4850</v>
      </c>
      <c r="J10" s="89">
        <v>1881</v>
      </c>
      <c r="K10" s="90">
        <v>44441</v>
      </c>
      <c r="L10" s="92">
        <v>36370</v>
      </c>
    </row>
    <row r="11" spans="1:12" ht="24" customHeight="1" thickBot="1" x14ac:dyDescent="0.35">
      <c r="A11" s="93"/>
      <c r="B11" s="93" t="s">
        <v>507</v>
      </c>
      <c r="C11" s="93">
        <v>40</v>
      </c>
      <c r="D11" s="94">
        <v>1864261</v>
      </c>
      <c r="E11" s="94">
        <v>187398</v>
      </c>
      <c r="F11" s="94">
        <v>68633</v>
      </c>
      <c r="G11" s="94">
        <v>1983026</v>
      </c>
      <c r="H11" s="94">
        <v>45919</v>
      </c>
      <c r="I11" s="94">
        <v>4765</v>
      </c>
      <c r="J11" s="94">
        <v>1720</v>
      </c>
      <c r="K11" s="94">
        <v>48963</v>
      </c>
      <c r="L11" s="94">
        <v>30552</v>
      </c>
    </row>
    <row r="14" spans="1:12" ht="19.95" customHeight="1" x14ac:dyDescent="0.3">
      <c r="A14" s="716" t="s">
        <v>508</v>
      </c>
      <c r="B14" s="708"/>
      <c r="C14" s="708"/>
      <c r="D14" s="708"/>
      <c r="E14" s="708"/>
      <c r="F14" s="708"/>
      <c r="G14" s="708"/>
      <c r="H14" s="708"/>
      <c r="I14" s="708"/>
      <c r="J14" s="708"/>
      <c r="K14" s="708"/>
      <c r="L14" s="708"/>
    </row>
    <row r="15" spans="1:12" ht="24" customHeight="1" x14ac:dyDescent="0.3">
      <c r="A15" s="95" t="s">
        <v>479</v>
      </c>
      <c r="B15" s="95" t="s">
        <v>104</v>
      </c>
      <c r="C15" s="95" t="s">
        <v>488</v>
      </c>
      <c r="D15" s="95" t="s">
        <v>489</v>
      </c>
      <c r="E15" s="95" t="s">
        <v>490</v>
      </c>
      <c r="F15" s="95" t="s">
        <v>491</v>
      </c>
      <c r="G15" s="95" t="s">
        <v>492</v>
      </c>
      <c r="H15" s="95" t="s">
        <v>493</v>
      </c>
      <c r="I15" s="95" t="s">
        <v>509</v>
      </c>
      <c r="J15" s="95"/>
      <c r="K15" s="95"/>
      <c r="L15" s="95"/>
    </row>
    <row r="16" spans="1:12" ht="16.05" customHeight="1" x14ac:dyDescent="0.3">
      <c r="A16" s="96">
        <v>1</v>
      </c>
      <c r="B16" s="97" t="s">
        <v>113</v>
      </c>
      <c r="C16" s="98">
        <v>205</v>
      </c>
      <c r="D16" s="99" t="s">
        <v>115</v>
      </c>
      <c r="E16" s="100">
        <v>57772</v>
      </c>
      <c r="F16" s="101">
        <v>2192</v>
      </c>
      <c r="G16" s="102">
        <v>768</v>
      </c>
      <c r="H16" s="103">
        <v>59196</v>
      </c>
      <c r="I16" s="104" t="s">
        <v>510</v>
      </c>
    </row>
    <row r="17" spans="1:9" ht="16.05" customHeight="1" x14ac:dyDescent="0.3">
      <c r="A17" s="96">
        <v>2</v>
      </c>
      <c r="B17" s="97" t="s">
        <v>113</v>
      </c>
      <c r="C17" s="98">
        <v>209</v>
      </c>
      <c r="D17" s="99" t="s">
        <v>118</v>
      </c>
      <c r="E17" s="100">
        <v>43908</v>
      </c>
      <c r="F17" s="101">
        <v>6913</v>
      </c>
      <c r="G17" s="102">
        <v>2077</v>
      </c>
      <c r="H17" s="103">
        <v>48744</v>
      </c>
      <c r="I17" s="105" t="s">
        <v>511</v>
      </c>
    </row>
    <row r="18" spans="1:9" ht="16.05" customHeight="1" x14ac:dyDescent="0.3">
      <c r="A18" s="96">
        <v>3</v>
      </c>
      <c r="B18" s="97" t="s">
        <v>113</v>
      </c>
      <c r="C18" s="98">
        <v>232</v>
      </c>
      <c r="D18" s="99" t="s">
        <v>123</v>
      </c>
      <c r="E18" s="100">
        <v>42466</v>
      </c>
      <c r="F18" s="101">
        <v>5742</v>
      </c>
      <c r="G18" s="102">
        <v>508</v>
      </c>
      <c r="H18" s="103">
        <v>47700</v>
      </c>
      <c r="I18" s="105" t="s">
        <v>512</v>
      </c>
    </row>
    <row r="19" spans="1:9" ht="16.05" customHeight="1" x14ac:dyDescent="0.3">
      <c r="A19" s="96">
        <v>4</v>
      </c>
      <c r="B19" s="97" t="s">
        <v>113</v>
      </c>
      <c r="C19" s="98">
        <v>212</v>
      </c>
      <c r="D19" s="99" t="s">
        <v>18</v>
      </c>
      <c r="E19" s="100">
        <v>39777</v>
      </c>
      <c r="F19" s="101">
        <v>7294</v>
      </c>
      <c r="G19" s="102">
        <v>2153</v>
      </c>
      <c r="H19" s="103">
        <v>44918</v>
      </c>
      <c r="I19" s="105" t="s">
        <v>513</v>
      </c>
    </row>
    <row r="20" spans="1:9" ht="16.05" customHeight="1" x14ac:dyDescent="0.3">
      <c r="A20" s="96">
        <v>5</v>
      </c>
      <c r="B20" s="97" t="s">
        <v>113</v>
      </c>
      <c r="C20" s="98">
        <v>203</v>
      </c>
      <c r="D20" s="99" t="s">
        <v>112</v>
      </c>
      <c r="E20" s="100">
        <v>40336</v>
      </c>
      <c r="F20" s="101">
        <v>5556</v>
      </c>
      <c r="G20" s="102">
        <v>2065</v>
      </c>
      <c r="H20" s="103">
        <v>43827</v>
      </c>
      <c r="I20" s="105" t="s">
        <v>514</v>
      </c>
    </row>
    <row r="21" spans="1:9" ht="16.05" customHeight="1" x14ac:dyDescent="0.3">
      <c r="A21" s="96">
        <v>6</v>
      </c>
      <c r="B21" s="106" t="s">
        <v>116</v>
      </c>
      <c r="C21" s="107">
        <v>216</v>
      </c>
      <c r="D21" s="108" t="s">
        <v>122</v>
      </c>
      <c r="E21" s="109">
        <v>56514</v>
      </c>
      <c r="F21" s="110">
        <v>2786</v>
      </c>
      <c r="G21" s="111">
        <v>1310</v>
      </c>
      <c r="H21" s="112">
        <v>57990</v>
      </c>
      <c r="I21" s="113" t="s">
        <v>515</v>
      </c>
    </row>
    <row r="22" spans="1:9" ht="16.05" customHeight="1" x14ac:dyDescent="0.3">
      <c r="A22" s="96">
        <v>7</v>
      </c>
      <c r="B22" s="106" t="s">
        <v>116</v>
      </c>
      <c r="C22" s="107">
        <v>218</v>
      </c>
      <c r="D22" s="108" t="s">
        <v>66</v>
      </c>
      <c r="E22" s="109">
        <v>54292</v>
      </c>
      <c r="F22" s="110">
        <v>4927</v>
      </c>
      <c r="G22" s="111">
        <v>1456</v>
      </c>
      <c r="H22" s="112">
        <v>57763</v>
      </c>
      <c r="I22" s="113" t="s">
        <v>516</v>
      </c>
    </row>
    <row r="23" spans="1:9" ht="16.05" customHeight="1" x14ac:dyDescent="0.3">
      <c r="A23" s="96">
        <v>8</v>
      </c>
      <c r="B23" s="106" t="s">
        <v>116</v>
      </c>
      <c r="C23" s="107">
        <v>207</v>
      </c>
      <c r="D23" s="108" t="s">
        <v>68</v>
      </c>
      <c r="E23" s="109">
        <v>44668</v>
      </c>
      <c r="F23" s="110">
        <v>7649</v>
      </c>
      <c r="G23" s="111">
        <v>2734</v>
      </c>
      <c r="H23" s="112">
        <v>49583</v>
      </c>
      <c r="I23" s="113" t="s">
        <v>517</v>
      </c>
    </row>
    <row r="24" spans="1:9" ht="16.05" customHeight="1" x14ac:dyDescent="0.3">
      <c r="A24" s="96">
        <v>9</v>
      </c>
      <c r="B24" s="106" t="s">
        <v>116</v>
      </c>
      <c r="C24" s="107">
        <v>240</v>
      </c>
      <c r="D24" s="108" t="s">
        <v>125</v>
      </c>
      <c r="E24" s="109">
        <v>47808</v>
      </c>
      <c r="F24" s="110">
        <v>4561</v>
      </c>
      <c r="G24" s="111">
        <v>2892</v>
      </c>
      <c r="H24" s="112">
        <v>49477</v>
      </c>
      <c r="I24" s="113" t="s">
        <v>518</v>
      </c>
    </row>
    <row r="25" spans="1:9" ht="16.05" customHeight="1" x14ac:dyDescent="0.3">
      <c r="A25" s="96">
        <v>10</v>
      </c>
      <c r="B25" s="106" t="s">
        <v>116</v>
      </c>
      <c r="C25" s="107">
        <v>215</v>
      </c>
      <c r="D25" s="108" t="s">
        <v>108</v>
      </c>
      <c r="E25" s="109">
        <v>36950</v>
      </c>
      <c r="F25" s="110">
        <v>3436</v>
      </c>
      <c r="G25" s="111">
        <v>1077</v>
      </c>
      <c r="H25" s="112">
        <v>39309</v>
      </c>
      <c r="I25" s="114" t="s">
        <v>519</v>
      </c>
    </row>
    <row r="26" spans="1:9" ht="16.05" customHeight="1" x14ac:dyDescent="0.3">
      <c r="A26" s="96">
        <v>11</v>
      </c>
      <c r="B26" s="106" t="s">
        <v>116</v>
      </c>
      <c r="C26" s="107">
        <v>214</v>
      </c>
      <c r="D26" s="108" t="s">
        <v>54</v>
      </c>
      <c r="E26" s="109">
        <v>35046</v>
      </c>
      <c r="F26" s="110">
        <v>4841</v>
      </c>
      <c r="G26" s="111">
        <v>1237</v>
      </c>
      <c r="H26" s="112">
        <v>38650</v>
      </c>
      <c r="I26" s="114" t="s">
        <v>520</v>
      </c>
    </row>
    <row r="27" spans="1:9" ht="16.05" customHeight="1" x14ac:dyDescent="0.3">
      <c r="A27" s="96">
        <v>12</v>
      </c>
      <c r="B27" s="115" t="s">
        <v>114</v>
      </c>
      <c r="C27" s="116">
        <v>227</v>
      </c>
      <c r="D27" s="117" t="s">
        <v>52</v>
      </c>
      <c r="E27" s="118">
        <v>55172</v>
      </c>
      <c r="F27" s="119">
        <v>6799</v>
      </c>
      <c r="G27" s="120">
        <v>1449</v>
      </c>
      <c r="H27" s="121">
        <v>60522</v>
      </c>
      <c r="I27" s="122" t="s">
        <v>521</v>
      </c>
    </row>
    <row r="28" spans="1:9" ht="16.05" customHeight="1" x14ac:dyDescent="0.3">
      <c r="A28" s="96">
        <v>13</v>
      </c>
      <c r="B28" s="115" t="s">
        <v>114</v>
      </c>
      <c r="C28" s="116">
        <v>239</v>
      </c>
      <c r="D28" s="117" t="s">
        <v>132</v>
      </c>
      <c r="E28" s="118">
        <v>54704</v>
      </c>
      <c r="F28" s="119">
        <v>6984</v>
      </c>
      <c r="G28" s="120">
        <v>1240</v>
      </c>
      <c r="H28" s="121">
        <v>60448</v>
      </c>
      <c r="I28" s="122" t="s">
        <v>522</v>
      </c>
    </row>
    <row r="29" spans="1:9" ht="16.05" customHeight="1" x14ac:dyDescent="0.3">
      <c r="A29" s="96">
        <v>14</v>
      </c>
      <c r="B29" s="115" t="s">
        <v>114</v>
      </c>
      <c r="C29" s="116">
        <v>230</v>
      </c>
      <c r="D29" s="117" t="s">
        <v>130</v>
      </c>
      <c r="E29" s="118">
        <v>58284</v>
      </c>
      <c r="F29" s="119">
        <v>2731</v>
      </c>
      <c r="G29" s="120">
        <v>1903</v>
      </c>
      <c r="H29" s="121">
        <v>59112</v>
      </c>
      <c r="I29" s="122" t="s">
        <v>523</v>
      </c>
    </row>
    <row r="30" spans="1:9" ht="16.05" customHeight="1" x14ac:dyDescent="0.3">
      <c r="A30" s="96">
        <v>15</v>
      </c>
      <c r="B30" s="115" t="s">
        <v>114</v>
      </c>
      <c r="C30" s="116">
        <v>220</v>
      </c>
      <c r="D30" s="117" t="s">
        <v>125</v>
      </c>
      <c r="E30" s="118">
        <v>48126</v>
      </c>
      <c r="F30" s="119">
        <v>4876</v>
      </c>
      <c r="G30" s="120">
        <v>1770</v>
      </c>
      <c r="H30" s="121">
        <v>51232</v>
      </c>
      <c r="I30" s="122" t="s">
        <v>524</v>
      </c>
    </row>
    <row r="31" spans="1:9" ht="16.05" customHeight="1" x14ac:dyDescent="0.3">
      <c r="A31" s="96">
        <v>16</v>
      </c>
      <c r="B31" s="115" t="s">
        <v>114</v>
      </c>
      <c r="C31" s="116">
        <v>204</v>
      </c>
      <c r="D31" s="117" t="s">
        <v>48</v>
      </c>
      <c r="E31" s="118">
        <v>48066</v>
      </c>
      <c r="F31" s="119">
        <v>2538</v>
      </c>
      <c r="G31" s="120">
        <v>2166</v>
      </c>
      <c r="H31" s="121">
        <v>48438</v>
      </c>
      <c r="I31" s="123" t="s">
        <v>525</v>
      </c>
    </row>
    <row r="32" spans="1:9" ht="16.05" customHeight="1" x14ac:dyDescent="0.3">
      <c r="A32" s="96">
        <v>17</v>
      </c>
      <c r="B32" s="115" t="s">
        <v>114</v>
      </c>
      <c r="C32" s="116">
        <v>208</v>
      </c>
      <c r="D32" s="117" t="s">
        <v>117</v>
      </c>
      <c r="E32" s="118">
        <v>41888</v>
      </c>
      <c r="F32" s="119">
        <v>4455</v>
      </c>
      <c r="G32" s="120">
        <v>1771</v>
      </c>
      <c r="H32" s="121">
        <v>44572</v>
      </c>
      <c r="I32" s="123" t="s">
        <v>526</v>
      </c>
    </row>
    <row r="33" spans="1:9" ht="16.05" customHeight="1" x14ac:dyDescent="0.3">
      <c r="A33" s="96">
        <v>18</v>
      </c>
      <c r="B33" s="115" t="s">
        <v>114</v>
      </c>
      <c r="C33" s="116">
        <v>238</v>
      </c>
      <c r="D33" s="117" t="s">
        <v>123</v>
      </c>
      <c r="E33" s="118">
        <v>37955</v>
      </c>
      <c r="F33" s="119">
        <v>2713</v>
      </c>
      <c r="G33" s="120">
        <v>1686</v>
      </c>
      <c r="H33" s="121">
        <v>38982</v>
      </c>
      <c r="I33" s="123" t="s">
        <v>527</v>
      </c>
    </row>
    <row r="34" spans="1:9" ht="16.05" customHeight="1" x14ac:dyDescent="0.3">
      <c r="A34" s="96">
        <v>19</v>
      </c>
      <c r="B34" s="115" t="s">
        <v>114</v>
      </c>
      <c r="C34" s="116">
        <v>210</v>
      </c>
      <c r="D34" s="117" t="s">
        <v>119</v>
      </c>
      <c r="E34" s="118">
        <v>36734</v>
      </c>
      <c r="F34" s="119">
        <v>4610</v>
      </c>
      <c r="G34" s="120">
        <v>2769</v>
      </c>
      <c r="H34" s="121">
        <v>38575</v>
      </c>
      <c r="I34" s="123" t="s">
        <v>528</v>
      </c>
    </row>
    <row r="35" spans="1:9" ht="16.05" customHeight="1" x14ac:dyDescent="0.3">
      <c r="A35" s="96">
        <v>20</v>
      </c>
      <c r="B35" s="124" t="s">
        <v>109</v>
      </c>
      <c r="C35" s="125">
        <v>206</v>
      </c>
      <c r="D35" s="126" t="s">
        <v>36</v>
      </c>
      <c r="E35" s="127">
        <v>47690</v>
      </c>
      <c r="F35" s="128">
        <v>6945</v>
      </c>
      <c r="G35" s="129">
        <v>1912</v>
      </c>
      <c r="H35" s="130">
        <v>52723</v>
      </c>
      <c r="I35" s="131" t="s">
        <v>529</v>
      </c>
    </row>
    <row r="36" spans="1:9" ht="16.05" customHeight="1" x14ac:dyDescent="0.3">
      <c r="A36" s="96">
        <v>21</v>
      </c>
      <c r="B36" s="124" t="s">
        <v>109</v>
      </c>
      <c r="C36" s="125">
        <v>201</v>
      </c>
      <c r="D36" s="126" t="s">
        <v>108</v>
      </c>
      <c r="E36" s="127">
        <v>45902</v>
      </c>
      <c r="F36" s="128">
        <v>5986</v>
      </c>
      <c r="G36" s="129">
        <v>2200</v>
      </c>
      <c r="H36" s="130">
        <v>49688</v>
      </c>
      <c r="I36" s="131" t="s">
        <v>530</v>
      </c>
    </row>
    <row r="37" spans="1:9" ht="16.05" customHeight="1" x14ac:dyDescent="0.3">
      <c r="A37" s="96">
        <v>22</v>
      </c>
      <c r="B37" s="124" t="s">
        <v>109</v>
      </c>
      <c r="C37" s="125">
        <v>211</v>
      </c>
      <c r="D37" s="126" t="s">
        <v>120</v>
      </c>
      <c r="E37" s="127">
        <v>38287</v>
      </c>
      <c r="F37" s="128">
        <v>3133</v>
      </c>
      <c r="G37" s="129">
        <v>2437</v>
      </c>
      <c r="H37" s="130">
        <v>38983</v>
      </c>
      <c r="I37" s="132" t="s">
        <v>531</v>
      </c>
    </row>
    <row r="38" spans="1:9" ht="16.05" customHeight="1" x14ac:dyDescent="0.3">
      <c r="A38" s="96">
        <v>23</v>
      </c>
      <c r="B38" s="124" t="s">
        <v>109</v>
      </c>
      <c r="C38" s="125">
        <v>223</v>
      </c>
      <c r="D38" s="126" t="s">
        <v>127</v>
      </c>
      <c r="E38" s="127">
        <v>34006</v>
      </c>
      <c r="F38" s="128">
        <v>3339</v>
      </c>
      <c r="G38" s="129">
        <v>975</v>
      </c>
      <c r="H38" s="130">
        <v>36370</v>
      </c>
      <c r="I38" s="132" t="s">
        <v>532</v>
      </c>
    </row>
    <row r="39" spans="1:9" ht="16.05" customHeight="1" x14ac:dyDescent="0.3">
      <c r="A39" s="96">
        <v>24</v>
      </c>
      <c r="B39" s="133" t="s">
        <v>124</v>
      </c>
      <c r="C39" s="134">
        <v>225</v>
      </c>
      <c r="D39" s="135" t="s">
        <v>128</v>
      </c>
      <c r="E39" s="136">
        <v>56586</v>
      </c>
      <c r="F39" s="137">
        <v>7662</v>
      </c>
      <c r="G39" s="138">
        <v>1134</v>
      </c>
      <c r="H39" s="139">
        <v>63114</v>
      </c>
      <c r="I39" s="140" t="s">
        <v>533</v>
      </c>
    </row>
    <row r="40" spans="1:9" ht="16.05" customHeight="1" x14ac:dyDescent="0.3">
      <c r="A40" s="96">
        <v>25</v>
      </c>
      <c r="B40" s="133" t="s">
        <v>124</v>
      </c>
      <c r="C40" s="134">
        <v>224</v>
      </c>
      <c r="D40" s="135" t="s">
        <v>52</v>
      </c>
      <c r="E40" s="136">
        <v>57229</v>
      </c>
      <c r="F40" s="137">
        <v>5283</v>
      </c>
      <c r="G40" s="138">
        <v>1411</v>
      </c>
      <c r="H40" s="139">
        <v>61101</v>
      </c>
      <c r="I40" s="140" t="s">
        <v>534</v>
      </c>
    </row>
    <row r="41" spans="1:9" ht="16.05" customHeight="1" x14ac:dyDescent="0.3">
      <c r="A41" s="96">
        <v>26</v>
      </c>
      <c r="B41" s="133" t="s">
        <v>124</v>
      </c>
      <c r="C41" s="134">
        <v>219</v>
      </c>
      <c r="D41" s="135" t="s">
        <v>123</v>
      </c>
      <c r="E41" s="136">
        <v>56529</v>
      </c>
      <c r="F41" s="137">
        <v>2563</v>
      </c>
      <c r="G41" s="138">
        <v>513</v>
      </c>
      <c r="H41" s="139">
        <v>58579</v>
      </c>
      <c r="I41" s="140" t="s">
        <v>535</v>
      </c>
    </row>
    <row r="42" spans="1:9" ht="16.05" customHeight="1" x14ac:dyDescent="0.3">
      <c r="A42" s="96">
        <v>27</v>
      </c>
      <c r="B42" s="133" t="s">
        <v>124</v>
      </c>
      <c r="C42" s="134">
        <v>233</v>
      </c>
      <c r="D42" s="135" t="s">
        <v>131</v>
      </c>
      <c r="E42" s="136">
        <v>48182</v>
      </c>
      <c r="F42" s="137">
        <v>4759</v>
      </c>
      <c r="G42" s="138">
        <v>2165</v>
      </c>
      <c r="H42" s="139">
        <v>50776</v>
      </c>
      <c r="I42" s="140" t="s">
        <v>536</v>
      </c>
    </row>
    <row r="43" spans="1:9" ht="16.05" customHeight="1" x14ac:dyDescent="0.3">
      <c r="A43" s="96">
        <v>28</v>
      </c>
      <c r="B43" s="133" t="s">
        <v>124</v>
      </c>
      <c r="C43" s="134">
        <v>217</v>
      </c>
      <c r="D43" s="135" t="s">
        <v>123</v>
      </c>
      <c r="E43" s="136">
        <v>38970</v>
      </c>
      <c r="F43" s="137">
        <v>3712</v>
      </c>
      <c r="G43" s="138">
        <v>2225</v>
      </c>
      <c r="H43" s="139">
        <v>40457</v>
      </c>
      <c r="I43" s="141" t="s">
        <v>537</v>
      </c>
    </row>
    <row r="44" spans="1:9" ht="16.05" customHeight="1" x14ac:dyDescent="0.3">
      <c r="A44" s="96">
        <v>29</v>
      </c>
      <c r="B44" s="133" t="s">
        <v>124</v>
      </c>
      <c r="C44" s="134">
        <v>237</v>
      </c>
      <c r="D44" s="135" t="s">
        <v>133</v>
      </c>
      <c r="E44" s="136">
        <v>35765</v>
      </c>
      <c r="F44" s="137">
        <v>4719</v>
      </c>
      <c r="G44" s="138">
        <v>1517</v>
      </c>
      <c r="H44" s="139">
        <v>38967</v>
      </c>
      <c r="I44" s="141" t="s">
        <v>538</v>
      </c>
    </row>
    <row r="45" spans="1:9" ht="16.05" customHeight="1" x14ac:dyDescent="0.3">
      <c r="A45" s="96">
        <v>30</v>
      </c>
      <c r="B45" s="133" t="s">
        <v>124</v>
      </c>
      <c r="C45" s="134">
        <v>221</v>
      </c>
      <c r="D45" s="135" t="s">
        <v>126</v>
      </c>
      <c r="E45" s="136">
        <v>31222</v>
      </c>
      <c r="F45" s="137">
        <v>3960</v>
      </c>
      <c r="G45" s="138">
        <v>2542</v>
      </c>
      <c r="H45" s="139">
        <v>32640</v>
      </c>
      <c r="I45" s="141" t="s">
        <v>539</v>
      </c>
    </row>
    <row r="46" spans="1:9" ht="16.05" customHeight="1" x14ac:dyDescent="0.3">
      <c r="A46" s="96">
        <v>31</v>
      </c>
      <c r="B46" s="142" t="s">
        <v>111</v>
      </c>
      <c r="C46" s="143">
        <v>213</v>
      </c>
      <c r="D46" s="144" t="s">
        <v>121</v>
      </c>
      <c r="E46" s="145">
        <v>59520</v>
      </c>
      <c r="F46" s="146">
        <v>5571</v>
      </c>
      <c r="G46" s="147">
        <v>1030</v>
      </c>
      <c r="H46" s="148">
        <v>64061</v>
      </c>
      <c r="I46" s="149" t="s">
        <v>540</v>
      </c>
    </row>
    <row r="47" spans="1:9" ht="16.05" customHeight="1" x14ac:dyDescent="0.3">
      <c r="A47" s="96">
        <v>32</v>
      </c>
      <c r="B47" s="142" t="s">
        <v>111</v>
      </c>
      <c r="C47" s="143">
        <v>231</v>
      </c>
      <c r="D47" s="144" t="s">
        <v>50</v>
      </c>
      <c r="E47" s="145">
        <v>54657</v>
      </c>
      <c r="F47" s="146">
        <v>7352</v>
      </c>
      <c r="G47" s="147">
        <v>1175</v>
      </c>
      <c r="H47" s="148">
        <v>60834</v>
      </c>
      <c r="I47" s="149" t="s">
        <v>541</v>
      </c>
    </row>
    <row r="48" spans="1:9" ht="16.05" customHeight="1" x14ac:dyDescent="0.3">
      <c r="A48" s="96">
        <v>33</v>
      </c>
      <c r="B48" s="142" t="s">
        <v>111</v>
      </c>
      <c r="C48" s="143">
        <v>222</v>
      </c>
      <c r="D48" s="144" t="s">
        <v>66</v>
      </c>
      <c r="E48" s="145">
        <v>57378</v>
      </c>
      <c r="F48" s="146">
        <v>3896</v>
      </c>
      <c r="G48" s="147">
        <v>2367</v>
      </c>
      <c r="H48" s="148">
        <v>58907</v>
      </c>
      <c r="I48" s="149" t="s">
        <v>542</v>
      </c>
    </row>
    <row r="49" spans="1:12" ht="16.05" customHeight="1" x14ac:dyDescent="0.3">
      <c r="A49" s="96">
        <v>34</v>
      </c>
      <c r="B49" s="142" t="s">
        <v>111</v>
      </c>
      <c r="C49" s="143">
        <v>234</v>
      </c>
      <c r="D49" s="144" t="s">
        <v>108</v>
      </c>
      <c r="E49" s="145">
        <v>54698</v>
      </c>
      <c r="F49" s="146">
        <v>2279</v>
      </c>
      <c r="G49" s="147">
        <v>1563</v>
      </c>
      <c r="H49" s="148">
        <v>55414</v>
      </c>
      <c r="I49" s="149" t="s">
        <v>543</v>
      </c>
    </row>
    <row r="50" spans="1:12" ht="16.05" customHeight="1" x14ac:dyDescent="0.3">
      <c r="A50" s="96">
        <v>35</v>
      </c>
      <c r="B50" s="142" t="s">
        <v>111</v>
      </c>
      <c r="C50" s="143">
        <v>202</v>
      </c>
      <c r="D50" s="144" t="s">
        <v>110</v>
      </c>
      <c r="E50" s="145">
        <v>53315</v>
      </c>
      <c r="F50" s="146">
        <v>2868</v>
      </c>
      <c r="G50" s="147">
        <v>1636</v>
      </c>
      <c r="H50" s="148">
        <v>54547</v>
      </c>
      <c r="I50" s="149" t="s">
        <v>544</v>
      </c>
    </row>
    <row r="51" spans="1:12" ht="16.05" customHeight="1" x14ac:dyDescent="0.3">
      <c r="A51" s="96">
        <v>36</v>
      </c>
      <c r="B51" s="142" t="s">
        <v>111</v>
      </c>
      <c r="C51" s="143">
        <v>228</v>
      </c>
      <c r="D51" s="144" t="s">
        <v>127</v>
      </c>
      <c r="E51" s="145">
        <v>51366</v>
      </c>
      <c r="F51" s="146">
        <v>3206</v>
      </c>
      <c r="G51" s="147">
        <v>837</v>
      </c>
      <c r="H51" s="148">
        <v>53735</v>
      </c>
      <c r="I51" s="149" t="s">
        <v>545</v>
      </c>
    </row>
    <row r="52" spans="1:12" ht="16.05" customHeight="1" x14ac:dyDescent="0.3">
      <c r="A52" s="96">
        <v>37</v>
      </c>
      <c r="B52" s="142" t="s">
        <v>111</v>
      </c>
      <c r="C52" s="143">
        <v>229</v>
      </c>
      <c r="D52" s="144" t="s">
        <v>129</v>
      </c>
      <c r="E52" s="145">
        <v>48893</v>
      </c>
      <c r="F52" s="146">
        <v>5104</v>
      </c>
      <c r="G52" s="147">
        <v>1986</v>
      </c>
      <c r="H52" s="148">
        <v>52011</v>
      </c>
      <c r="I52" s="150" t="s">
        <v>546</v>
      </c>
    </row>
    <row r="53" spans="1:12" ht="16.05" customHeight="1" x14ac:dyDescent="0.3">
      <c r="A53" s="96">
        <v>38</v>
      </c>
      <c r="B53" s="142" t="s">
        <v>111</v>
      </c>
      <c r="C53" s="143">
        <v>226</v>
      </c>
      <c r="D53" s="144" t="s">
        <v>18</v>
      </c>
      <c r="E53" s="145">
        <v>38561</v>
      </c>
      <c r="F53" s="146">
        <v>7993</v>
      </c>
      <c r="G53" s="147">
        <v>1251</v>
      </c>
      <c r="H53" s="148">
        <v>45303</v>
      </c>
      <c r="I53" s="150" t="s">
        <v>547</v>
      </c>
    </row>
    <row r="54" spans="1:12" ht="16.05" customHeight="1" x14ac:dyDescent="0.3">
      <c r="A54" s="96">
        <v>39</v>
      </c>
      <c r="B54" s="142" t="s">
        <v>111</v>
      </c>
      <c r="C54" s="143">
        <v>235</v>
      </c>
      <c r="D54" s="144" t="s">
        <v>13</v>
      </c>
      <c r="E54" s="145">
        <v>44810</v>
      </c>
      <c r="F54" s="146">
        <v>3316</v>
      </c>
      <c r="G54" s="147">
        <v>2900</v>
      </c>
      <c r="H54" s="148">
        <v>45226</v>
      </c>
      <c r="I54" s="150" t="s">
        <v>548</v>
      </c>
    </row>
    <row r="55" spans="1:12" ht="16.05" customHeight="1" x14ac:dyDescent="0.3">
      <c r="A55" s="96">
        <v>40</v>
      </c>
      <c r="B55" s="142" t="s">
        <v>111</v>
      </c>
      <c r="C55" s="143">
        <v>236</v>
      </c>
      <c r="D55" s="144" t="s">
        <v>132</v>
      </c>
      <c r="E55" s="145">
        <v>30229</v>
      </c>
      <c r="F55" s="146">
        <v>2149</v>
      </c>
      <c r="G55" s="147">
        <v>1826</v>
      </c>
      <c r="H55" s="148">
        <v>30552</v>
      </c>
      <c r="I55" s="150" t="s">
        <v>549</v>
      </c>
    </row>
    <row r="57" spans="1:12" ht="19.95" customHeight="1" x14ac:dyDescent="0.3">
      <c r="A57" s="717" t="s">
        <v>550</v>
      </c>
      <c r="B57" s="708"/>
      <c r="C57" s="708"/>
      <c r="D57" s="708"/>
      <c r="E57" s="708"/>
      <c r="F57" s="708"/>
      <c r="G57" s="708"/>
      <c r="H57" s="708"/>
      <c r="I57" s="708"/>
      <c r="J57" s="708"/>
      <c r="K57" s="708"/>
      <c r="L57" s="708"/>
    </row>
  </sheetData>
  <autoFilter ref="A4:L4" xr:uid="{00000000-0009-0000-0000-000004000000}"/>
  <mergeCells count="5">
    <mergeCell ref="A1:L1"/>
    <mergeCell ref="A2:L2"/>
    <mergeCell ref="A3:L3"/>
    <mergeCell ref="A14:L14"/>
    <mergeCell ref="A57:L57"/>
  </mergeCells>
  <conditionalFormatting sqref="A5:L10">
    <cfRule type="expression" dxfId="6" priority="8">
      <formula>$G5=520590</formula>
    </cfRule>
  </conditionalFormatting>
  <conditionalFormatting sqref="C5:C10">
    <cfRule type="dataBar" priority="5">
      <dataBar>
        <cfvo type="min"/>
        <cfvo type="max"/>
        <color rgb="FF2E75B6"/>
      </dataBar>
    </cfRule>
  </conditionalFormatting>
  <conditionalFormatting sqref="G5:G10">
    <cfRule type="expression" dxfId="5" priority="1">
      <formula>G5&gt;=450000</formula>
    </cfRule>
    <cfRule type="expression" dxfId="4" priority="2">
      <formula>AND(G5&gt;=300000,G5&lt;450000)</formula>
    </cfRule>
    <cfRule type="expression" dxfId="3" priority="3">
      <formula>G5&lt;300000</formula>
    </cfRule>
  </conditionalFormatting>
  <conditionalFormatting sqref="I16:I55">
    <cfRule type="expression" dxfId="2" priority="6">
      <formula>LEFT(I16,1)="▲"</formula>
    </cfRule>
    <cfRule type="expression" dxfId="1" priority="7">
      <formula>LEFT(I16,1)="▼"</formula>
    </cfRule>
  </conditionalFormatting>
  <conditionalFormatting sqref="K5:K10">
    <cfRule type="colorScale" priority="4">
      <colorScale>
        <cfvo type="min"/>
        <cfvo type="percentile" val="50"/>
        <cfvo type="max"/>
        <color rgb="FFFFEB9C"/>
        <color rgb="FFDDEBF7"/>
        <color rgb="FFC6EFCE"/>
      </colorScale>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sheetPr>
  <dimension ref="A1:C41"/>
  <sheetViews>
    <sheetView workbookViewId="0"/>
  </sheetViews>
  <sheetFormatPr defaultRowHeight="14.4" x14ac:dyDescent="0.3"/>
  <cols>
    <col min="1" max="3" width="19.44140625" customWidth="1"/>
  </cols>
  <sheetData>
    <row r="1" spans="1:3" x14ac:dyDescent="0.3">
      <c r="A1" t="s">
        <v>90</v>
      </c>
      <c r="B1" t="s">
        <v>134</v>
      </c>
      <c r="C1" t="s">
        <v>135</v>
      </c>
    </row>
    <row r="2" spans="1:3" x14ac:dyDescent="0.3">
      <c r="A2" s="1">
        <v>46023</v>
      </c>
      <c r="B2" t="s">
        <v>136</v>
      </c>
      <c r="C2">
        <v>21673</v>
      </c>
    </row>
    <row r="3" spans="1:3" x14ac:dyDescent="0.3">
      <c r="A3" s="1">
        <v>46024</v>
      </c>
      <c r="B3" t="s">
        <v>136</v>
      </c>
      <c r="C3">
        <v>-13047</v>
      </c>
    </row>
    <row r="4" spans="1:3" x14ac:dyDescent="0.3">
      <c r="A4" s="1">
        <v>46025</v>
      </c>
      <c r="B4" t="s">
        <v>136</v>
      </c>
      <c r="C4">
        <v>19375</v>
      </c>
    </row>
    <row r="5" spans="1:3" x14ac:dyDescent="0.3">
      <c r="A5" s="1">
        <v>46026</v>
      </c>
      <c r="B5" t="s">
        <v>137</v>
      </c>
      <c r="C5">
        <v>12429</v>
      </c>
    </row>
    <row r="6" spans="1:3" x14ac:dyDescent="0.3">
      <c r="A6" s="1">
        <v>46027</v>
      </c>
      <c r="B6" t="s">
        <v>138</v>
      </c>
      <c r="C6">
        <v>9070</v>
      </c>
    </row>
    <row r="7" spans="1:3" x14ac:dyDescent="0.3">
      <c r="A7" s="1">
        <v>46028</v>
      </c>
      <c r="B7" t="s">
        <v>139</v>
      </c>
      <c r="C7">
        <v>15876</v>
      </c>
    </row>
    <row r="8" spans="1:3" x14ac:dyDescent="0.3">
      <c r="A8" s="1">
        <v>46029</v>
      </c>
      <c r="B8" t="s">
        <v>140</v>
      </c>
      <c r="C8">
        <v>-7221</v>
      </c>
    </row>
    <row r="9" spans="1:3" x14ac:dyDescent="0.3">
      <c r="A9" s="1">
        <v>46030</v>
      </c>
      <c r="B9" t="s">
        <v>140</v>
      </c>
      <c r="C9">
        <v>-2163</v>
      </c>
    </row>
    <row r="10" spans="1:3" x14ac:dyDescent="0.3">
      <c r="A10" s="1">
        <v>46031</v>
      </c>
      <c r="B10" t="s">
        <v>137</v>
      </c>
      <c r="C10">
        <v>-9499</v>
      </c>
    </row>
    <row r="11" spans="1:3" x14ac:dyDescent="0.3">
      <c r="A11" s="1">
        <v>46032</v>
      </c>
      <c r="B11" t="s">
        <v>137</v>
      </c>
      <c r="C11">
        <v>-14246</v>
      </c>
    </row>
    <row r="12" spans="1:3" x14ac:dyDescent="0.3">
      <c r="A12" s="1">
        <v>46033</v>
      </c>
      <c r="B12" t="s">
        <v>137</v>
      </c>
      <c r="C12">
        <v>8049</v>
      </c>
    </row>
    <row r="13" spans="1:3" x14ac:dyDescent="0.3">
      <c r="A13" s="1">
        <v>46034</v>
      </c>
      <c r="B13" t="s">
        <v>138</v>
      </c>
      <c r="C13">
        <v>12737</v>
      </c>
    </row>
    <row r="14" spans="1:3" x14ac:dyDescent="0.3">
      <c r="A14" s="1">
        <v>46035</v>
      </c>
      <c r="B14" t="s">
        <v>140</v>
      </c>
      <c r="C14">
        <v>-11846</v>
      </c>
    </row>
    <row r="15" spans="1:3" x14ac:dyDescent="0.3">
      <c r="A15" s="1">
        <v>46036</v>
      </c>
      <c r="B15" t="s">
        <v>136</v>
      </c>
      <c r="C15">
        <v>14921</v>
      </c>
    </row>
    <row r="16" spans="1:3" x14ac:dyDescent="0.3">
      <c r="A16" s="1">
        <v>46037</v>
      </c>
      <c r="B16" t="s">
        <v>139</v>
      </c>
      <c r="C16">
        <v>-5231</v>
      </c>
    </row>
    <row r="17" spans="1:3" x14ac:dyDescent="0.3">
      <c r="A17" s="1">
        <v>46038</v>
      </c>
      <c r="B17" t="s">
        <v>140</v>
      </c>
      <c r="C17">
        <v>24311</v>
      </c>
    </row>
    <row r="18" spans="1:3" x14ac:dyDescent="0.3">
      <c r="A18" s="1">
        <v>46039</v>
      </c>
      <c r="B18" t="s">
        <v>139</v>
      </c>
      <c r="C18">
        <v>9396</v>
      </c>
    </row>
    <row r="19" spans="1:3" x14ac:dyDescent="0.3">
      <c r="A19" s="1">
        <v>46040</v>
      </c>
      <c r="B19" t="s">
        <v>139</v>
      </c>
      <c r="C19">
        <v>3161</v>
      </c>
    </row>
    <row r="20" spans="1:3" x14ac:dyDescent="0.3">
      <c r="A20" s="1">
        <v>46041</v>
      </c>
      <c r="B20" t="s">
        <v>136</v>
      </c>
      <c r="C20">
        <v>14487</v>
      </c>
    </row>
    <row r="21" spans="1:3" x14ac:dyDescent="0.3">
      <c r="A21" s="1">
        <v>46042</v>
      </c>
      <c r="B21" t="s">
        <v>140</v>
      </c>
      <c r="C21">
        <v>10506</v>
      </c>
    </row>
    <row r="22" spans="1:3" x14ac:dyDescent="0.3">
      <c r="A22" s="1">
        <v>46043</v>
      </c>
      <c r="B22" t="s">
        <v>137</v>
      </c>
      <c r="C22">
        <v>10450</v>
      </c>
    </row>
    <row r="23" spans="1:3" x14ac:dyDescent="0.3">
      <c r="A23" s="1">
        <v>46044</v>
      </c>
      <c r="B23" t="s">
        <v>137</v>
      </c>
      <c r="C23">
        <v>4979</v>
      </c>
    </row>
    <row r="24" spans="1:3" x14ac:dyDescent="0.3">
      <c r="A24" s="1">
        <v>46045</v>
      </c>
      <c r="B24" t="s">
        <v>140</v>
      </c>
      <c r="C24">
        <v>6912</v>
      </c>
    </row>
    <row r="25" spans="1:3" x14ac:dyDescent="0.3">
      <c r="A25" s="1">
        <v>46046</v>
      </c>
      <c r="B25" t="s">
        <v>139</v>
      </c>
      <c r="C25">
        <v>-9385</v>
      </c>
    </row>
    <row r="26" spans="1:3" x14ac:dyDescent="0.3">
      <c r="A26" s="1">
        <v>46047</v>
      </c>
      <c r="B26" t="s">
        <v>136</v>
      </c>
      <c r="C26">
        <v>1115</v>
      </c>
    </row>
    <row r="27" spans="1:3" x14ac:dyDescent="0.3">
      <c r="A27" s="1">
        <v>46048</v>
      </c>
      <c r="B27" t="s">
        <v>140</v>
      </c>
      <c r="C27">
        <v>1906</v>
      </c>
    </row>
    <row r="28" spans="1:3" x14ac:dyDescent="0.3">
      <c r="A28" s="1">
        <v>46049</v>
      </c>
      <c r="B28" t="s">
        <v>138</v>
      </c>
      <c r="C28">
        <v>1327</v>
      </c>
    </row>
    <row r="29" spans="1:3" x14ac:dyDescent="0.3">
      <c r="A29" s="1">
        <v>46050</v>
      </c>
      <c r="B29" t="s">
        <v>137</v>
      </c>
      <c r="C29">
        <v>14420</v>
      </c>
    </row>
    <row r="30" spans="1:3" x14ac:dyDescent="0.3">
      <c r="A30" s="1">
        <v>46051</v>
      </c>
      <c r="B30" t="s">
        <v>137</v>
      </c>
      <c r="C30">
        <v>-9725</v>
      </c>
    </row>
    <row r="31" spans="1:3" x14ac:dyDescent="0.3">
      <c r="A31" s="1">
        <v>46052</v>
      </c>
      <c r="B31" t="s">
        <v>137</v>
      </c>
      <c r="C31">
        <v>9975</v>
      </c>
    </row>
    <row r="32" spans="1:3" x14ac:dyDescent="0.3">
      <c r="A32" s="1">
        <v>46053</v>
      </c>
      <c r="B32" t="s">
        <v>137</v>
      </c>
      <c r="C32">
        <v>-6840</v>
      </c>
    </row>
    <row r="33" spans="1:3" x14ac:dyDescent="0.3">
      <c r="A33" s="1">
        <v>46054</v>
      </c>
      <c r="B33" t="s">
        <v>139</v>
      </c>
      <c r="C33">
        <v>24797</v>
      </c>
    </row>
    <row r="34" spans="1:3" x14ac:dyDescent="0.3">
      <c r="A34" s="1">
        <v>46055</v>
      </c>
      <c r="B34" t="s">
        <v>136</v>
      </c>
      <c r="C34">
        <v>-7506</v>
      </c>
    </row>
    <row r="35" spans="1:3" x14ac:dyDescent="0.3">
      <c r="A35" s="1">
        <v>46056</v>
      </c>
      <c r="B35" t="s">
        <v>138</v>
      </c>
      <c r="C35">
        <v>-7827</v>
      </c>
    </row>
    <row r="36" spans="1:3" x14ac:dyDescent="0.3">
      <c r="A36" s="1">
        <v>46057</v>
      </c>
      <c r="B36" t="s">
        <v>137</v>
      </c>
      <c r="C36">
        <v>9853</v>
      </c>
    </row>
    <row r="37" spans="1:3" x14ac:dyDescent="0.3">
      <c r="A37" s="1">
        <v>46058</v>
      </c>
      <c r="B37" t="s">
        <v>139</v>
      </c>
      <c r="C37">
        <v>244</v>
      </c>
    </row>
    <row r="38" spans="1:3" x14ac:dyDescent="0.3">
      <c r="A38" s="1">
        <v>46059</v>
      </c>
      <c r="B38" t="s">
        <v>139</v>
      </c>
      <c r="C38">
        <v>-3276</v>
      </c>
    </row>
    <row r="39" spans="1:3" x14ac:dyDescent="0.3">
      <c r="A39" s="1">
        <v>46060</v>
      </c>
      <c r="B39" t="s">
        <v>137</v>
      </c>
      <c r="C39">
        <v>6966</v>
      </c>
    </row>
    <row r="40" spans="1:3" x14ac:dyDescent="0.3">
      <c r="A40" s="1">
        <v>46061</v>
      </c>
      <c r="B40" t="s">
        <v>137</v>
      </c>
      <c r="C40">
        <v>472</v>
      </c>
    </row>
    <row r="41" spans="1:3" x14ac:dyDescent="0.3">
      <c r="A41" s="1">
        <v>46062</v>
      </c>
      <c r="B41" t="s">
        <v>137</v>
      </c>
      <c r="C41">
        <v>23021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C41"/>
  <sheetViews>
    <sheetView workbookViewId="0"/>
  </sheetViews>
  <sheetFormatPr defaultRowHeight="14.4" x14ac:dyDescent="0.3"/>
  <cols>
    <col min="1" max="3" width="15.6640625" customWidth="1"/>
  </cols>
  <sheetData>
    <row r="1" spans="1:3" x14ac:dyDescent="0.3">
      <c r="A1" t="s">
        <v>90</v>
      </c>
      <c r="B1" t="s">
        <v>134</v>
      </c>
      <c r="C1" t="s">
        <v>135</v>
      </c>
    </row>
    <row r="2" spans="1:3" x14ac:dyDescent="0.3">
      <c r="A2" s="1">
        <v>46023</v>
      </c>
      <c r="B2" t="s">
        <v>140</v>
      </c>
      <c r="C2">
        <v>10997</v>
      </c>
    </row>
    <row r="3" spans="1:3" x14ac:dyDescent="0.3">
      <c r="A3" s="1">
        <v>46024</v>
      </c>
      <c r="B3" t="s">
        <v>138</v>
      </c>
      <c r="C3">
        <v>19376</v>
      </c>
    </row>
    <row r="4" spans="1:3" x14ac:dyDescent="0.3">
      <c r="A4" s="1">
        <v>46025</v>
      </c>
      <c r="B4" t="s">
        <v>138</v>
      </c>
      <c r="C4">
        <v>18559</v>
      </c>
    </row>
    <row r="5" spans="1:3" x14ac:dyDescent="0.3">
      <c r="A5" s="1">
        <v>46026</v>
      </c>
      <c r="B5" t="s">
        <v>140</v>
      </c>
      <c r="C5">
        <v>-7646</v>
      </c>
    </row>
    <row r="6" spans="1:3" x14ac:dyDescent="0.3">
      <c r="A6" s="1">
        <v>46027</v>
      </c>
      <c r="B6" t="s">
        <v>138</v>
      </c>
      <c r="C6">
        <v>2360</v>
      </c>
    </row>
    <row r="7" spans="1:3" x14ac:dyDescent="0.3">
      <c r="A7" s="1">
        <v>46028</v>
      </c>
      <c r="B7" t="s">
        <v>140</v>
      </c>
      <c r="C7">
        <v>17153</v>
      </c>
    </row>
    <row r="8" spans="1:3" x14ac:dyDescent="0.3">
      <c r="A8" s="1">
        <v>46029</v>
      </c>
      <c r="B8" t="s">
        <v>137</v>
      </c>
      <c r="C8">
        <v>-4586</v>
      </c>
    </row>
    <row r="9" spans="1:3" x14ac:dyDescent="0.3">
      <c r="A9" s="1">
        <v>46030</v>
      </c>
      <c r="B9" t="s">
        <v>138</v>
      </c>
      <c r="C9">
        <v>-3633</v>
      </c>
    </row>
    <row r="10" spans="1:3" x14ac:dyDescent="0.3">
      <c r="A10" s="1">
        <v>46031</v>
      </c>
      <c r="B10" t="s">
        <v>141</v>
      </c>
      <c r="C10">
        <v>12001</v>
      </c>
    </row>
    <row r="11" spans="1:3" x14ac:dyDescent="0.3">
      <c r="A11" s="1">
        <v>46032</v>
      </c>
      <c r="B11" t="s">
        <v>140</v>
      </c>
      <c r="C11">
        <v>-8247</v>
      </c>
    </row>
    <row r="12" spans="1:3" x14ac:dyDescent="0.3">
      <c r="A12" s="1">
        <v>46033</v>
      </c>
      <c r="B12" t="s">
        <v>137</v>
      </c>
      <c r="C12">
        <v>-11811</v>
      </c>
    </row>
    <row r="13" spans="1:3" x14ac:dyDescent="0.3">
      <c r="A13" s="1">
        <v>46034</v>
      </c>
      <c r="B13" t="s">
        <v>140</v>
      </c>
      <c r="C13">
        <v>18674</v>
      </c>
    </row>
    <row r="14" spans="1:3" x14ac:dyDescent="0.3">
      <c r="A14" s="1">
        <v>46035</v>
      </c>
      <c r="B14" t="s">
        <v>141</v>
      </c>
      <c r="C14">
        <v>-10525</v>
      </c>
    </row>
    <row r="15" spans="1:3" x14ac:dyDescent="0.3">
      <c r="A15" s="1">
        <v>46036</v>
      </c>
      <c r="B15" t="s">
        <v>136</v>
      </c>
      <c r="C15">
        <v>10523</v>
      </c>
    </row>
    <row r="16" spans="1:3" x14ac:dyDescent="0.3">
      <c r="A16" s="1">
        <v>46037</v>
      </c>
      <c r="B16" t="s">
        <v>137</v>
      </c>
      <c r="C16">
        <v>20984</v>
      </c>
    </row>
    <row r="17" spans="1:3" x14ac:dyDescent="0.3">
      <c r="A17" s="1">
        <v>46038</v>
      </c>
      <c r="B17" t="s">
        <v>137</v>
      </c>
      <c r="C17">
        <v>21968</v>
      </c>
    </row>
    <row r="18" spans="1:3" x14ac:dyDescent="0.3">
      <c r="A18" s="1">
        <v>46039</v>
      </c>
      <c r="B18" t="s">
        <v>141</v>
      </c>
      <c r="C18">
        <v>22634</v>
      </c>
    </row>
    <row r="19" spans="1:3" x14ac:dyDescent="0.3">
      <c r="A19" s="1">
        <v>46040</v>
      </c>
      <c r="B19" t="s">
        <v>137</v>
      </c>
      <c r="C19">
        <v>22694</v>
      </c>
    </row>
    <row r="20" spans="1:3" x14ac:dyDescent="0.3">
      <c r="A20" s="1">
        <v>46041</v>
      </c>
      <c r="B20" t="s">
        <v>136</v>
      </c>
      <c r="C20">
        <v>-6344</v>
      </c>
    </row>
    <row r="21" spans="1:3" x14ac:dyDescent="0.3">
      <c r="A21" s="1">
        <v>46042</v>
      </c>
      <c r="B21" t="s">
        <v>138</v>
      </c>
      <c r="C21">
        <v>15762</v>
      </c>
    </row>
    <row r="22" spans="1:3" x14ac:dyDescent="0.3">
      <c r="A22" s="1">
        <v>46043</v>
      </c>
      <c r="B22" t="s">
        <v>137</v>
      </c>
      <c r="C22">
        <v>-5112</v>
      </c>
    </row>
    <row r="23" spans="1:3" x14ac:dyDescent="0.3">
      <c r="A23" s="1">
        <v>46044</v>
      </c>
      <c r="B23" t="s">
        <v>141</v>
      </c>
      <c r="C23">
        <v>23560</v>
      </c>
    </row>
    <row r="24" spans="1:3" x14ac:dyDescent="0.3">
      <c r="A24" s="1">
        <v>46045</v>
      </c>
      <c r="B24" t="s">
        <v>136</v>
      </c>
      <c r="C24">
        <v>-1989</v>
      </c>
    </row>
    <row r="25" spans="1:3" x14ac:dyDescent="0.3">
      <c r="A25" s="1">
        <v>46046</v>
      </c>
      <c r="B25" t="s">
        <v>140</v>
      </c>
      <c r="C25">
        <v>5307</v>
      </c>
    </row>
    <row r="26" spans="1:3" x14ac:dyDescent="0.3">
      <c r="A26" s="1">
        <v>46047</v>
      </c>
      <c r="B26" t="s">
        <v>136</v>
      </c>
      <c r="C26">
        <v>-10087</v>
      </c>
    </row>
    <row r="27" spans="1:3" x14ac:dyDescent="0.3">
      <c r="A27" s="1">
        <v>46048</v>
      </c>
      <c r="B27" t="s">
        <v>141</v>
      </c>
      <c r="C27">
        <v>5529</v>
      </c>
    </row>
    <row r="28" spans="1:3" x14ac:dyDescent="0.3">
      <c r="A28" s="1">
        <v>46049</v>
      </c>
      <c r="B28" t="s">
        <v>136</v>
      </c>
      <c r="C28">
        <v>-8286</v>
      </c>
    </row>
    <row r="29" spans="1:3" x14ac:dyDescent="0.3">
      <c r="A29" s="1">
        <v>46050</v>
      </c>
      <c r="B29" t="s">
        <v>140</v>
      </c>
      <c r="C29">
        <v>18993</v>
      </c>
    </row>
    <row r="30" spans="1:3" x14ac:dyDescent="0.3">
      <c r="A30" s="1">
        <v>46051</v>
      </c>
      <c r="B30" t="s">
        <v>138</v>
      </c>
      <c r="C30">
        <v>-5876</v>
      </c>
    </row>
    <row r="31" spans="1:3" x14ac:dyDescent="0.3">
      <c r="A31" s="1">
        <v>46052</v>
      </c>
      <c r="B31" t="s">
        <v>137</v>
      </c>
      <c r="C31">
        <v>23586</v>
      </c>
    </row>
    <row r="32" spans="1:3" x14ac:dyDescent="0.3">
      <c r="A32" s="1">
        <v>46053</v>
      </c>
      <c r="B32" t="s">
        <v>137</v>
      </c>
      <c r="C32">
        <v>19</v>
      </c>
    </row>
    <row r="33" spans="1:3" x14ac:dyDescent="0.3">
      <c r="A33" s="1">
        <v>46054</v>
      </c>
      <c r="B33" t="s">
        <v>136</v>
      </c>
      <c r="C33">
        <v>-9326</v>
      </c>
    </row>
    <row r="34" spans="1:3" x14ac:dyDescent="0.3">
      <c r="A34" s="1">
        <v>46055</v>
      </c>
      <c r="B34" t="s">
        <v>138</v>
      </c>
      <c r="C34">
        <v>11261</v>
      </c>
    </row>
    <row r="35" spans="1:3" x14ac:dyDescent="0.3">
      <c r="A35" s="1">
        <v>46056</v>
      </c>
      <c r="B35" t="s">
        <v>137</v>
      </c>
      <c r="C35">
        <v>12464</v>
      </c>
    </row>
    <row r="36" spans="1:3" x14ac:dyDescent="0.3">
      <c r="A36" s="1">
        <v>46057</v>
      </c>
      <c r="B36" t="s">
        <v>136</v>
      </c>
      <c r="C36">
        <v>-3688</v>
      </c>
    </row>
    <row r="37" spans="1:3" x14ac:dyDescent="0.3">
      <c r="A37" s="1">
        <v>46058</v>
      </c>
      <c r="B37" t="s">
        <v>136</v>
      </c>
      <c r="C37">
        <v>14045</v>
      </c>
    </row>
    <row r="38" spans="1:3" x14ac:dyDescent="0.3">
      <c r="A38" s="1">
        <v>46059</v>
      </c>
      <c r="B38" t="s">
        <v>137</v>
      </c>
      <c r="C38">
        <v>-4303</v>
      </c>
    </row>
    <row r="39" spans="1:3" x14ac:dyDescent="0.3">
      <c r="A39" s="1">
        <v>46060</v>
      </c>
      <c r="B39" t="s">
        <v>141</v>
      </c>
      <c r="C39">
        <v>-7078</v>
      </c>
    </row>
    <row r="40" spans="1:3" x14ac:dyDescent="0.3">
      <c r="A40" s="1">
        <v>46061</v>
      </c>
      <c r="B40" t="s">
        <v>137</v>
      </c>
      <c r="C40">
        <v>-13326</v>
      </c>
    </row>
    <row r="41" spans="1:3" x14ac:dyDescent="0.3">
      <c r="A41" s="1">
        <v>46062</v>
      </c>
      <c r="B41" t="s">
        <v>140</v>
      </c>
      <c r="C41">
        <v>3328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5E614-6578-4243-9D0C-D69684AB0CCC}">
  <sheetPr>
    <tabColor theme="4" tint="0.79998168889431442"/>
  </sheetPr>
  <dimension ref="A1:G91"/>
  <sheetViews>
    <sheetView zoomScaleNormal="100" workbookViewId="0">
      <selection sqref="A1:G1"/>
    </sheetView>
  </sheetViews>
  <sheetFormatPr defaultColWidth="8.6640625" defaultRowHeight="14.4" x14ac:dyDescent="0.3"/>
  <cols>
    <col min="1" max="1" width="20.77734375" style="151" bestFit="1" customWidth="1"/>
    <col min="2" max="2" width="29.88671875" style="151" bestFit="1" customWidth="1"/>
    <col min="3" max="3" width="45.21875" style="151" bestFit="1" customWidth="1"/>
    <col min="4" max="4" width="36.6640625" style="151" bestFit="1" customWidth="1"/>
    <col min="5" max="5" width="9.77734375" style="151" bestFit="1" customWidth="1"/>
    <col min="6" max="7" width="14" style="151" customWidth="1"/>
    <col min="8" max="16384" width="8.6640625" style="151"/>
  </cols>
  <sheetData>
    <row r="1" spans="1:7" ht="27.6" customHeight="1" x14ac:dyDescent="0.3">
      <c r="A1" s="718" t="s">
        <v>551</v>
      </c>
      <c r="B1" s="718"/>
      <c r="C1" s="718"/>
      <c r="D1" s="718"/>
      <c r="E1" s="718"/>
      <c r="F1" s="718"/>
      <c r="G1" s="718"/>
    </row>
    <row r="2" spans="1:7" ht="23.4" customHeight="1" x14ac:dyDescent="0.3">
      <c r="A2" s="719" t="s">
        <v>552</v>
      </c>
      <c r="B2" s="719"/>
      <c r="C2" s="719"/>
      <c r="D2" s="719"/>
      <c r="E2" s="719"/>
      <c r="F2" s="719"/>
      <c r="G2" s="719"/>
    </row>
    <row r="3" spans="1:7" x14ac:dyDescent="0.3">
      <c r="A3" s="152"/>
      <c r="B3" s="152"/>
      <c r="C3" s="152"/>
      <c r="D3" s="152"/>
      <c r="E3" s="152"/>
      <c r="F3" s="152"/>
      <c r="G3" s="152"/>
    </row>
    <row r="4" spans="1:7" x14ac:dyDescent="0.3">
      <c r="A4" s="153" t="s">
        <v>553</v>
      </c>
      <c r="B4" s="153" t="s">
        <v>554</v>
      </c>
      <c r="C4" s="153" t="s">
        <v>555</v>
      </c>
    </row>
    <row r="5" spans="1:7" x14ac:dyDescent="0.3">
      <c r="A5" s="154" t="s">
        <v>556</v>
      </c>
      <c r="B5" s="155">
        <v>40</v>
      </c>
      <c r="C5" s="155">
        <v>40</v>
      </c>
    </row>
    <row r="6" spans="1:7" x14ac:dyDescent="0.3">
      <c r="A6" s="156" t="s">
        <v>557</v>
      </c>
      <c r="B6" s="155">
        <v>0</v>
      </c>
      <c r="C6" s="155">
        <v>9</v>
      </c>
    </row>
    <row r="7" spans="1:7" x14ac:dyDescent="0.3">
      <c r="A7" s="157" t="s">
        <v>558</v>
      </c>
      <c r="B7" s="155">
        <v>9</v>
      </c>
      <c r="C7" s="155">
        <v>0</v>
      </c>
    </row>
    <row r="8" spans="1:7" x14ac:dyDescent="0.3">
      <c r="A8" s="158" t="s">
        <v>559</v>
      </c>
      <c r="B8" s="155">
        <v>31</v>
      </c>
      <c r="C8" s="155">
        <v>31</v>
      </c>
    </row>
    <row r="9" spans="1:7" x14ac:dyDescent="0.3">
      <c r="A9" s="154" t="s">
        <v>560</v>
      </c>
      <c r="B9" s="155">
        <v>184616</v>
      </c>
      <c r="C9" s="155">
        <v>209914</v>
      </c>
    </row>
    <row r="11" spans="1:7" x14ac:dyDescent="0.3">
      <c r="A11" s="159" t="s">
        <v>561</v>
      </c>
      <c r="B11" s="160" t="s">
        <v>562</v>
      </c>
      <c r="C11" s="161" t="s">
        <v>563</v>
      </c>
      <c r="D11" s="162" t="s">
        <v>564</v>
      </c>
    </row>
    <row r="13" spans="1:7" x14ac:dyDescent="0.3">
      <c r="A13" s="720" t="s">
        <v>565</v>
      </c>
      <c r="B13" s="720"/>
      <c r="C13" s="720"/>
      <c r="D13" s="720"/>
      <c r="E13" s="720"/>
      <c r="F13" s="720"/>
      <c r="G13" s="720"/>
    </row>
    <row r="14" spans="1:7" x14ac:dyDescent="0.3">
      <c r="A14" s="163" t="s">
        <v>90</v>
      </c>
      <c r="B14" s="163" t="s">
        <v>134</v>
      </c>
      <c r="C14" s="163" t="s">
        <v>566</v>
      </c>
      <c r="D14" s="163" t="s">
        <v>567</v>
      </c>
      <c r="E14" s="163" t="s">
        <v>568</v>
      </c>
      <c r="F14" s="163"/>
      <c r="G14" s="163"/>
    </row>
    <row r="15" spans="1:7" x14ac:dyDescent="0.3">
      <c r="A15" s="164" t="s">
        <v>569</v>
      </c>
      <c r="B15" s="164" t="s">
        <v>138</v>
      </c>
      <c r="C15" s="164">
        <v>9070</v>
      </c>
      <c r="D15" s="164">
        <v>2360</v>
      </c>
      <c r="E15" s="164">
        <v>6710</v>
      </c>
      <c r="F15" s="164"/>
      <c r="G15" s="164"/>
    </row>
    <row r="16" spans="1:7" x14ac:dyDescent="0.3">
      <c r="A16" s="164" t="s">
        <v>570</v>
      </c>
      <c r="B16" s="164" t="s">
        <v>137</v>
      </c>
      <c r="C16" s="164">
        <v>8049</v>
      </c>
      <c r="D16" s="164">
        <v>-11811</v>
      </c>
      <c r="E16" s="164">
        <v>19860</v>
      </c>
      <c r="F16" s="164"/>
      <c r="G16" s="164"/>
    </row>
    <row r="17" spans="1:7" x14ac:dyDescent="0.3">
      <c r="A17" s="164" t="s">
        <v>571</v>
      </c>
      <c r="B17" s="164" t="s">
        <v>136</v>
      </c>
      <c r="C17" s="164">
        <v>14921</v>
      </c>
      <c r="D17" s="164">
        <v>10523</v>
      </c>
      <c r="E17" s="164">
        <v>4398</v>
      </c>
      <c r="F17" s="164"/>
      <c r="G17" s="164"/>
    </row>
    <row r="18" spans="1:7" x14ac:dyDescent="0.3">
      <c r="A18" s="164" t="s">
        <v>572</v>
      </c>
      <c r="B18" s="164" t="s">
        <v>136</v>
      </c>
      <c r="C18" s="164">
        <v>14487</v>
      </c>
      <c r="D18" s="164">
        <v>-6344</v>
      </c>
      <c r="E18" s="164">
        <v>20831</v>
      </c>
      <c r="F18" s="164"/>
      <c r="G18" s="164"/>
    </row>
    <row r="19" spans="1:7" x14ac:dyDescent="0.3">
      <c r="A19" s="164" t="s">
        <v>573</v>
      </c>
      <c r="B19" s="164" t="s">
        <v>137</v>
      </c>
      <c r="C19" s="164">
        <v>10450</v>
      </c>
      <c r="D19" s="164">
        <v>-5112</v>
      </c>
      <c r="E19" s="164">
        <v>15562</v>
      </c>
      <c r="F19" s="164"/>
      <c r="G19" s="164"/>
    </row>
    <row r="20" spans="1:7" x14ac:dyDescent="0.3">
      <c r="A20" s="164" t="s">
        <v>574</v>
      </c>
      <c r="B20" s="164" t="s">
        <v>136</v>
      </c>
      <c r="C20" s="164">
        <v>1115</v>
      </c>
      <c r="D20" s="164">
        <v>-10087</v>
      </c>
      <c r="E20" s="164">
        <v>11202</v>
      </c>
      <c r="F20" s="164"/>
      <c r="G20" s="164"/>
    </row>
    <row r="21" spans="1:7" x14ac:dyDescent="0.3">
      <c r="A21" s="164" t="s">
        <v>575</v>
      </c>
      <c r="B21" s="164" t="s">
        <v>137</v>
      </c>
      <c r="C21" s="164">
        <v>9975</v>
      </c>
      <c r="D21" s="164">
        <v>23586</v>
      </c>
      <c r="E21" s="164">
        <v>-13611</v>
      </c>
      <c r="F21" s="164"/>
      <c r="G21" s="164"/>
    </row>
    <row r="22" spans="1:7" x14ac:dyDescent="0.3">
      <c r="A22" s="164" t="s">
        <v>576</v>
      </c>
      <c r="B22" s="164" t="s">
        <v>137</v>
      </c>
      <c r="C22" s="164">
        <v>-6840</v>
      </c>
      <c r="D22" s="164">
        <v>19</v>
      </c>
      <c r="E22" s="164">
        <v>-6859</v>
      </c>
      <c r="F22" s="164"/>
      <c r="G22" s="164"/>
    </row>
    <row r="23" spans="1:7" x14ac:dyDescent="0.3">
      <c r="A23" s="164" t="s">
        <v>577</v>
      </c>
      <c r="B23" s="164" t="s">
        <v>137</v>
      </c>
      <c r="C23" s="164">
        <v>472</v>
      </c>
      <c r="D23" s="164">
        <v>-13326</v>
      </c>
      <c r="E23" s="164">
        <v>13798</v>
      </c>
      <c r="F23" s="164"/>
      <c r="G23" s="164"/>
    </row>
    <row r="25" spans="1:7" x14ac:dyDescent="0.3">
      <c r="A25" s="721" t="s">
        <v>578</v>
      </c>
      <c r="B25" s="721"/>
      <c r="C25" s="721"/>
      <c r="D25" s="721"/>
      <c r="E25" s="721"/>
      <c r="F25" s="721"/>
      <c r="G25" s="721"/>
    </row>
    <row r="26" spans="1:7" x14ac:dyDescent="0.3">
      <c r="A26" s="165" t="s">
        <v>90</v>
      </c>
      <c r="B26" s="165" t="s">
        <v>134</v>
      </c>
      <c r="C26" s="165" t="s">
        <v>135</v>
      </c>
      <c r="D26" s="165"/>
      <c r="E26" s="165"/>
      <c r="F26" s="165"/>
      <c r="G26" s="165"/>
    </row>
    <row r="27" spans="1:7" x14ac:dyDescent="0.3">
      <c r="A27" s="166" t="s">
        <v>579</v>
      </c>
      <c r="B27" s="166" t="s">
        <v>136</v>
      </c>
      <c r="C27" s="166">
        <v>21673</v>
      </c>
      <c r="D27" s="166"/>
      <c r="E27" s="166"/>
      <c r="F27" s="166"/>
      <c r="G27" s="166"/>
    </row>
    <row r="28" spans="1:7" x14ac:dyDescent="0.3">
      <c r="A28" s="166" t="s">
        <v>580</v>
      </c>
      <c r="B28" s="166" t="s">
        <v>136</v>
      </c>
      <c r="C28" s="166">
        <v>-13047</v>
      </c>
      <c r="D28" s="166"/>
      <c r="E28" s="166"/>
      <c r="F28" s="166"/>
      <c r="G28" s="166"/>
    </row>
    <row r="29" spans="1:7" x14ac:dyDescent="0.3">
      <c r="A29" s="166" t="s">
        <v>581</v>
      </c>
      <c r="B29" s="166" t="s">
        <v>136</v>
      </c>
      <c r="C29" s="166">
        <v>19375</v>
      </c>
      <c r="D29" s="166"/>
      <c r="E29" s="166"/>
      <c r="F29" s="166"/>
      <c r="G29" s="166"/>
    </row>
    <row r="30" spans="1:7" x14ac:dyDescent="0.3">
      <c r="A30" s="166" t="s">
        <v>582</v>
      </c>
      <c r="B30" s="166" t="s">
        <v>137</v>
      </c>
      <c r="C30" s="166">
        <v>12429</v>
      </c>
      <c r="D30" s="166"/>
      <c r="E30" s="166"/>
      <c r="F30" s="166"/>
      <c r="G30" s="166"/>
    </row>
    <row r="31" spans="1:7" x14ac:dyDescent="0.3">
      <c r="A31" s="166" t="s">
        <v>583</v>
      </c>
      <c r="B31" s="166" t="s">
        <v>139</v>
      </c>
      <c r="C31" s="166">
        <v>15876</v>
      </c>
      <c r="D31" s="166"/>
      <c r="E31" s="166"/>
      <c r="F31" s="166"/>
      <c r="G31" s="166"/>
    </row>
    <row r="32" spans="1:7" x14ac:dyDescent="0.3">
      <c r="A32" s="166" t="s">
        <v>584</v>
      </c>
      <c r="B32" s="166" t="s">
        <v>140</v>
      </c>
      <c r="C32" s="166">
        <v>-7221</v>
      </c>
      <c r="D32" s="166"/>
      <c r="E32" s="166"/>
      <c r="F32" s="166"/>
      <c r="G32" s="166"/>
    </row>
    <row r="33" spans="1:7" x14ac:dyDescent="0.3">
      <c r="A33" s="166" t="s">
        <v>585</v>
      </c>
      <c r="B33" s="166" t="s">
        <v>140</v>
      </c>
      <c r="C33" s="166">
        <v>-2163</v>
      </c>
      <c r="D33" s="166"/>
      <c r="E33" s="166"/>
      <c r="F33" s="166"/>
      <c r="G33" s="166"/>
    </row>
    <row r="34" spans="1:7" x14ac:dyDescent="0.3">
      <c r="A34" s="166" t="s">
        <v>586</v>
      </c>
      <c r="B34" s="166" t="s">
        <v>137</v>
      </c>
      <c r="C34" s="166">
        <v>-9499</v>
      </c>
      <c r="D34" s="166"/>
      <c r="E34" s="166"/>
      <c r="F34" s="166"/>
      <c r="G34" s="166"/>
    </row>
    <row r="35" spans="1:7" x14ac:dyDescent="0.3">
      <c r="A35" s="166" t="s">
        <v>587</v>
      </c>
      <c r="B35" s="166" t="s">
        <v>137</v>
      </c>
      <c r="C35" s="166">
        <v>-14246</v>
      </c>
      <c r="D35" s="166"/>
      <c r="E35" s="166"/>
      <c r="F35" s="166"/>
      <c r="G35" s="166"/>
    </row>
    <row r="36" spans="1:7" x14ac:dyDescent="0.3">
      <c r="A36" s="166" t="s">
        <v>588</v>
      </c>
      <c r="B36" s="166" t="s">
        <v>138</v>
      </c>
      <c r="C36" s="166">
        <v>12737</v>
      </c>
      <c r="D36" s="166"/>
      <c r="E36" s="166"/>
      <c r="F36" s="166"/>
      <c r="G36" s="166"/>
    </row>
    <row r="37" spans="1:7" x14ac:dyDescent="0.3">
      <c r="A37" s="166" t="s">
        <v>589</v>
      </c>
      <c r="B37" s="166" t="s">
        <v>140</v>
      </c>
      <c r="C37" s="166">
        <v>-11846</v>
      </c>
      <c r="D37" s="166"/>
      <c r="E37" s="166"/>
      <c r="F37" s="166"/>
      <c r="G37" s="166"/>
    </row>
    <row r="38" spans="1:7" x14ac:dyDescent="0.3">
      <c r="A38" s="166" t="s">
        <v>590</v>
      </c>
      <c r="B38" s="166" t="s">
        <v>139</v>
      </c>
      <c r="C38" s="166">
        <v>-5231</v>
      </c>
      <c r="D38" s="166"/>
      <c r="E38" s="166"/>
      <c r="F38" s="166"/>
      <c r="G38" s="166"/>
    </row>
    <row r="39" spans="1:7" x14ac:dyDescent="0.3">
      <c r="A39" s="166" t="s">
        <v>591</v>
      </c>
      <c r="B39" s="166" t="s">
        <v>140</v>
      </c>
      <c r="C39" s="166">
        <v>24311</v>
      </c>
      <c r="D39" s="166"/>
      <c r="E39" s="166"/>
      <c r="F39" s="166"/>
      <c r="G39" s="166"/>
    </row>
    <row r="40" spans="1:7" x14ac:dyDescent="0.3">
      <c r="A40" s="166" t="s">
        <v>592</v>
      </c>
      <c r="B40" s="166" t="s">
        <v>139</v>
      </c>
      <c r="C40" s="166">
        <v>9396</v>
      </c>
      <c r="D40" s="166"/>
      <c r="E40" s="166"/>
      <c r="F40" s="166"/>
      <c r="G40" s="166"/>
    </row>
    <row r="41" spans="1:7" x14ac:dyDescent="0.3">
      <c r="A41" s="166" t="s">
        <v>593</v>
      </c>
      <c r="B41" s="166" t="s">
        <v>139</v>
      </c>
      <c r="C41" s="166">
        <v>3161</v>
      </c>
      <c r="D41" s="166"/>
      <c r="E41" s="166"/>
      <c r="F41" s="166"/>
      <c r="G41" s="166"/>
    </row>
    <row r="42" spans="1:7" x14ac:dyDescent="0.3">
      <c r="A42" s="166" t="s">
        <v>594</v>
      </c>
      <c r="B42" s="166" t="s">
        <v>140</v>
      </c>
      <c r="C42" s="166">
        <v>10506</v>
      </c>
      <c r="D42" s="166"/>
      <c r="E42" s="166"/>
      <c r="F42" s="166"/>
      <c r="G42" s="166"/>
    </row>
    <row r="43" spans="1:7" x14ac:dyDescent="0.3">
      <c r="A43" s="166" t="s">
        <v>595</v>
      </c>
      <c r="B43" s="166" t="s">
        <v>137</v>
      </c>
      <c r="C43" s="166">
        <v>4979</v>
      </c>
      <c r="D43" s="166"/>
      <c r="E43" s="166"/>
      <c r="F43" s="166"/>
      <c r="G43" s="166"/>
    </row>
    <row r="44" spans="1:7" x14ac:dyDescent="0.3">
      <c r="A44" s="166" t="s">
        <v>596</v>
      </c>
      <c r="B44" s="166" t="s">
        <v>140</v>
      </c>
      <c r="C44" s="166">
        <v>6912</v>
      </c>
      <c r="D44" s="166"/>
      <c r="E44" s="166"/>
      <c r="F44" s="166"/>
      <c r="G44" s="166"/>
    </row>
    <row r="45" spans="1:7" x14ac:dyDescent="0.3">
      <c r="A45" s="166" t="s">
        <v>597</v>
      </c>
      <c r="B45" s="166" t="s">
        <v>139</v>
      </c>
      <c r="C45" s="166">
        <v>-9385</v>
      </c>
      <c r="D45" s="166"/>
      <c r="E45" s="166"/>
      <c r="F45" s="166"/>
      <c r="G45" s="166"/>
    </row>
    <row r="46" spans="1:7" x14ac:dyDescent="0.3">
      <c r="A46" s="166" t="s">
        <v>598</v>
      </c>
      <c r="B46" s="166" t="s">
        <v>140</v>
      </c>
      <c r="C46" s="166">
        <v>1906</v>
      </c>
      <c r="D46" s="166"/>
      <c r="E46" s="166"/>
      <c r="F46" s="166"/>
      <c r="G46" s="166"/>
    </row>
    <row r="47" spans="1:7" x14ac:dyDescent="0.3">
      <c r="A47" s="166" t="s">
        <v>599</v>
      </c>
      <c r="B47" s="166" t="s">
        <v>138</v>
      </c>
      <c r="C47" s="166">
        <v>1327</v>
      </c>
      <c r="D47" s="166"/>
      <c r="E47" s="166"/>
      <c r="F47" s="166"/>
      <c r="G47" s="166"/>
    </row>
    <row r="48" spans="1:7" x14ac:dyDescent="0.3">
      <c r="A48" s="166" t="s">
        <v>600</v>
      </c>
      <c r="B48" s="166" t="s">
        <v>137</v>
      </c>
      <c r="C48" s="166">
        <v>14420</v>
      </c>
      <c r="D48" s="166"/>
      <c r="E48" s="166"/>
      <c r="F48" s="166"/>
      <c r="G48" s="166"/>
    </row>
    <row r="49" spans="1:7" x14ac:dyDescent="0.3">
      <c r="A49" s="166" t="s">
        <v>601</v>
      </c>
      <c r="B49" s="166" t="s">
        <v>137</v>
      </c>
      <c r="C49" s="166">
        <v>-9725</v>
      </c>
      <c r="D49" s="166"/>
      <c r="E49" s="166"/>
      <c r="F49" s="166"/>
      <c r="G49" s="166"/>
    </row>
    <row r="50" spans="1:7" x14ac:dyDescent="0.3">
      <c r="A50" s="166" t="s">
        <v>602</v>
      </c>
      <c r="B50" s="166" t="s">
        <v>139</v>
      </c>
      <c r="C50" s="166">
        <v>24797</v>
      </c>
      <c r="D50" s="166"/>
      <c r="E50" s="166"/>
      <c r="F50" s="166"/>
      <c r="G50" s="166"/>
    </row>
    <row r="51" spans="1:7" x14ac:dyDescent="0.3">
      <c r="A51" s="166" t="s">
        <v>603</v>
      </c>
      <c r="B51" s="166" t="s">
        <v>136</v>
      </c>
      <c r="C51" s="166">
        <v>-7506</v>
      </c>
      <c r="D51" s="166"/>
      <c r="E51" s="166"/>
      <c r="F51" s="166"/>
      <c r="G51" s="166"/>
    </row>
    <row r="52" spans="1:7" x14ac:dyDescent="0.3">
      <c r="A52" s="166" t="s">
        <v>604</v>
      </c>
      <c r="B52" s="166" t="s">
        <v>138</v>
      </c>
      <c r="C52" s="166">
        <v>-7827</v>
      </c>
      <c r="D52" s="166"/>
      <c r="E52" s="166"/>
      <c r="F52" s="166"/>
      <c r="G52" s="166"/>
    </row>
    <row r="53" spans="1:7" x14ac:dyDescent="0.3">
      <c r="A53" s="166" t="s">
        <v>605</v>
      </c>
      <c r="B53" s="166" t="s">
        <v>137</v>
      </c>
      <c r="C53" s="166">
        <v>9853</v>
      </c>
      <c r="D53" s="166"/>
      <c r="E53" s="166"/>
      <c r="F53" s="166"/>
      <c r="G53" s="166"/>
    </row>
    <row r="54" spans="1:7" x14ac:dyDescent="0.3">
      <c r="A54" s="166" t="s">
        <v>606</v>
      </c>
      <c r="B54" s="166" t="s">
        <v>139</v>
      </c>
      <c r="C54" s="166">
        <v>244</v>
      </c>
      <c r="D54" s="166"/>
      <c r="E54" s="166"/>
      <c r="F54" s="166"/>
      <c r="G54" s="166"/>
    </row>
    <row r="55" spans="1:7" x14ac:dyDescent="0.3">
      <c r="A55" s="166" t="s">
        <v>607</v>
      </c>
      <c r="B55" s="166" t="s">
        <v>139</v>
      </c>
      <c r="C55" s="166">
        <v>-3276</v>
      </c>
      <c r="D55" s="166"/>
      <c r="E55" s="166"/>
      <c r="F55" s="166"/>
      <c r="G55" s="166"/>
    </row>
    <row r="56" spans="1:7" x14ac:dyDescent="0.3">
      <c r="A56" s="166" t="s">
        <v>608</v>
      </c>
      <c r="B56" s="166" t="s">
        <v>137</v>
      </c>
      <c r="C56" s="166">
        <v>6966</v>
      </c>
      <c r="D56" s="166"/>
      <c r="E56" s="166"/>
      <c r="F56" s="166"/>
      <c r="G56" s="166"/>
    </row>
    <row r="57" spans="1:7" x14ac:dyDescent="0.3">
      <c r="A57" s="166" t="s">
        <v>609</v>
      </c>
      <c r="B57" s="166" t="s">
        <v>137</v>
      </c>
      <c r="C57" s="166">
        <v>23021</v>
      </c>
      <c r="D57" s="166"/>
      <c r="E57" s="166"/>
      <c r="F57" s="166"/>
      <c r="G57" s="166"/>
    </row>
    <row r="59" spans="1:7" x14ac:dyDescent="0.3">
      <c r="A59" s="721" t="s">
        <v>610</v>
      </c>
      <c r="B59" s="721"/>
      <c r="C59" s="721"/>
      <c r="D59" s="721"/>
      <c r="E59" s="721"/>
      <c r="F59" s="721"/>
      <c r="G59" s="721"/>
    </row>
    <row r="60" spans="1:7" x14ac:dyDescent="0.3">
      <c r="A60" s="165" t="s">
        <v>90</v>
      </c>
      <c r="B60" s="165" t="s">
        <v>134</v>
      </c>
      <c r="C60" s="165" t="s">
        <v>135</v>
      </c>
      <c r="D60" s="165"/>
      <c r="E60" s="165"/>
      <c r="F60" s="165"/>
      <c r="G60" s="165"/>
    </row>
    <row r="61" spans="1:7" x14ac:dyDescent="0.3">
      <c r="A61" s="166" t="s">
        <v>579</v>
      </c>
      <c r="B61" s="166" t="s">
        <v>140</v>
      </c>
      <c r="C61" s="166">
        <v>10997</v>
      </c>
      <c r="D61" s="166"/>
      <c r="E61" s="166"/>
      <c r="F61" s="166"/>
      <c r="G61" s="166"/>
    </row>
    <row r="62" spans="1:7" x14ac:dyDescent="0.3">
      <c r="A62" s="166" t="s">
        <v>580</v>
      </c>
      <c r="B62" s="166" t="s">
        <v>138</v>
      </c>
      <c r="C62" s="166">
        <v>19376</v>
      </c>
      <c r="D62" s="166"/>
      <c r="E62" s="166"/>
      <c r="F62" s="166"/>
      <c r="G62" s="166"/>
    </row>
    <row r="63" spans="1:7" x14ac:dyDescent="0.3">
      <c r="A63" s="166" t="s">
        <v>581</v>
      </c>
      <c r="B63" s="166" t="s">
        <v>138</v>
      </c>
      <c r="C63" s="166">
        <v>18559</v>
      </c>
      <c r="D63" s="166"/>
      <c r="E63" s="166"/>
      <c r="F63" s="166"/>
      <c r="G63" s="166"/>
    </row>
    <row r="64" spans="1:7" x14ac:dyDescent="0.3">
      <c r="A64" s="166" t="s">
        <v>582</v>
      </c>
      <c r="B64" s="166" t="s">
        <v>140</v>
      </c>
      <c r="C64" s="166">
        <v>-7646</v>
      </c>
      <c r="D64" s="166"/>
      <c r="E64" s="166"/>
      <c r="F64" s="166"/>
      <c r="G64" s="166"/>
    </row>
    <row r="65" spans="1:7" x14ac:dyDescent="0.3">
      <c r="A65" s="166" t="s">
        <v>583</v>
      </c>
      <c r="B65" s="166" t="s">
        <v>140</v>
      </c>
      <c r="C65" s="166">
        <v>17153</v>
      </c>
      <c r="D65" s="166"/>
      <c r="E65" s="166"/>
      <c r="F65" s="166"/>
      <c r="G65" s="166"/>
    </row>
    <row r="66" spans="1:7" x14ac:dyDescent="0.3">
      <c r="A66" s="166" t="s">
        <v>584</v>
      </c>
      <c r="B66" s="166" t="s">
        <v>137</v>
      </c>
      <c r="C66" s="166">
        <v>-4586</v>
      </c>
      <c r="D66" s="166"/>
      <c r="E66" s="166"/>
      <c r="F66" s="166"/>
      <c r="G66" s="166"/>
    </row>
    <row r="67" spans="1:7" x14ac:dyDescent="0.3">
      <c r="A67" s="166" t="s">
        <v>585</v>
      </c>
      <c r="B67" s="166" t="s">
        <v>138</v>
      </c>
      <c r="C67" s="166">
        <v>-3633</v>
      </c>
      <c r="D67" s="166"/>
      <c r="E67" s="166"/>
      <c r="F67" s="166"/>
      <c r="G67" s="166"/>
    </row>
    <row r="68" spans="1:7" x14ac:dyDescent="0.3">
      <c r="A68" s="166" t="s">
        <v>586</v>
      </c>
      <c r="B68" s="166" t="s">
        <v>141</v>
      </c>
      <c r="C68" s="166">
        <v>12001</v>
      </c>
      <c r="D68" s="166"/>
      <c r="E68" s="166"/>
      <c r="F68" s="166"/>
      <c r="G68" s="166"/>
    </row>
    <row r="69" spans="1:7" x14ac:dyDescent="0.3">
      <c r="A69" s="166" t="s">
        <v>587</v>
      </c>
      <c r="B69" s="166" t="s">
        <v>140</v>
      </c>
      <c r="C69" s="166">
        <v>-8247</v>
      </c>
      <c r="D69" s="166"/>
      <c r="E69" s="166"/>
      <c r="F69" s="166"/>
      <c r="G69" s="166"/>
    </row>
    <row r="70" spans="1:7" x14ac:dyDescent="0.3">
      <c r="A70" s="166" t="s">
        <v>588</v>
      </c>
      <c r="B70" s="166" t="s">
        <v>140</v>
      </c>
      <c r="C70" s="166">
        <v>18674</v>
      </c>
      <c r="D70" s="166"/>
      <c r="E70" s="166"/>
      <c r="F70" s="166"/>
      <c r="G70" s="166"/>
    </row>
    <row r="71" spans="1:7" x14ac:dyDescent="0.3">
      <c r="A71" s="166" t="s">
        <v>589</v>
      </c>
      <c r="B71" s="166" t="s">
        <v>141</v>
      </c>
      <c r="C71" s="166">
        <v>-10525</v>
      </c>
      <c r="D71" s="166"/>
      <c r="E71" s="166"/>
      <c r="F71" s="166"/>
      <c r="G71" s="166"/>
    </row>
    <row r="72" spans="1:7" x14ac:dyDescent="0.3">
      <c r="A72" s="166" t="s">
        <v>590</v>
      </c>
      <c r="B72" s="166" t="s">
        <v>137</v>
      </c>
      <c r="C72" s="166">
        <v>20984</v>
      </c>
      <c r="D72" s="166"/>
      <c r="E72" s="166"/>
      <c r="F72" s="166"/>
      <c r="G72" s="166"/>
    </row>
    <row r="73" spans="1:7" x14ac:dyDescent="0.3">
      <c r="A73" s="166" t="s">
        <v>591</v>
      </c>
      <c r="B73" s="166" t="s">
        <v>137</v>
      </c>
      <c r="C73" s="166">
        <v>21968</v>
      </c>
      <c r="D73" s="166"/>
      <c r="E73" s="166"/>
      <c r="F73" s="166"/>
      <c r="G73" s="166"/>
    </row>
    <row r="74" spans="1:7" x14ac:dyDescent="0.3">
      <c r="A74" s="166" t="s">
        <v>592</v>
      </c>
      <c r="B74" s="166" t="s">
        <v>141</v>
      </c>
      <c r="C74" s="166">
        <v>22634</v>
      </c>
      <c r="D74" s="166"/>
      <c r="E74" s="166"/>
      <c r="F74" s="166"/>
      <c r="G74" s="166"/>
    </row>
    <row r="75" spans="1:7" x14ac:dyDescent="0.3">
      <c r="A75" s="166" t="s">
        <v>593</v>
      </c>
      <c r="B75" s="166" t="s">
        <v>137</v>
      </c>
      <c r="C75" s="166">
        <v>22694</v>
      </c>
      <c r="D75" s="166"/>
      <c r="E75" s="166"/>
      <c r="F75" s="166"/>
      <c r="G75" s="166"/>
    </row>
    <row r="76" spans="1:7" x14ac:dyDescent="0.3">
      <c r="A76" s="166" t="s">
        <v>594</v>
      </c>
      <c r="B76" s="166" t="s">
        <v>138</v>
      </c>
      <c r="C76" s="166">
        <v>15762</v>
      </c>
      <c r="D76" s="166"/>
      <c r="E76" s="166"/>
      <c r="F76" s="166"/>
      <c r="G76" s="166"/>
    </row>
    <row r="77" spans="1:7" x14ac:dyDescent="0.3">
      <c r="A77" s="166" t="s">
        <v>595</v>
      </c>
      <c r="B77" s="166" t="s">
        <v>141</v>
      </c>
      <c r="C77" s="166">
        <v>23560</v>
      </c>
      <c r="D77" s="166"/>
      <c r="E77" s="166"/>
      <c r="F77" s="166"/>
      <c r="G77" s="166"/>
    </row>
    <row r="78" spans="1:7" x14ac:dyDescent="0.3">
      <c r="A78" s="166" t="s">
        <v>596</v>
      </c>
      <c r="B78" s="166" t="s">
        <v>136</v>
      </c>
      <c r="C78" s="166">
        <v>-1989</v>
      </c>
      <c r="D78" s="166"/>
      <c r="E78" s="166"/>
      <c r="F78" s="166"/>
      <c r="G78" s="166"/>
    </row>
    <row r="79" spans="1:7" x14ac:dyDescent="0.3">
      <c r="A79" s="166" t="s">
        <v>597</v>
      </c>
      <c r="B79" s="166" t="s">
        <v>140</v>
      </c>
      <c r="C79" s="166">
        <v>5307</v>
      </c>
      <c r="D79" s="166"/>
      <c r="E79" s="166"/>
      <c r="F79" s="166"/>
      <c r="G79" s="166"/>
    </row>
    <row r="80" spans="1:7" x14ac:dyDescent="0.3">
      <c r="A80" s="166" t="s">
        <v>598</v>
      </c>
      <c r="B80" s="166" t="s">
        <v>141</v>
      </c>
      <c r="C80" s="166">
        <v>5529</v>
      </c>
      <c r="D80" s="166"/>
      <c r="E80" s="166"/>
      <c r="F80" s="166"/>
      <c r="G80" s="166"/>
    </row>
    <row r="81" spans="1:7" x14ac:dyDescent="0.3">
      <c r="A81" s="166" t="s">
        <v>599</v>
      </c>
      <c r="B81" s="166" t="s">
        <v>136</v>
      </c>
      <c r="C81" s="166">
        <v>-8286</v>
      </c>
      <c r="D81" s="166"/>
      <c r="E81" s="166"/>
      <c r="F81" s="166"/>
      <c r="G81" s="166"/>
    </row>
    <row r="82" spans="1:7" x14ac:dyDescent="0.3">
      <c r="A82" s="166" t="s">
        <v>600</v>
      </c>
      <c r="B82" s="166" t="s">
        <v>140</v>
      </c>
      <c r="C82" s="166">
        <v>18993</v>
      </c>
      <c r="D82" s="166"/>
      <c r="E82" s="166"/>
      <c r="F82" s="166"/>
      <c r="G82" s="166"/>
    </row>
    <row r="83" spans="1:7" x14ac:dyDescent="0.3">
      <c r="A83" s="166" t="s">
        <v>601</v>
      </c>
      <c r="B83" s="166" t="s">
        <v>138</v>
      </c>
      <c r="C83" s="166">
        <v>-5876</v>
      </c>
      <c r="D83" s="166"/>
      <c r="E83" s="166"/>
      <c r="F83" s="166"/>
      <c r="G83" s="166"/>
    </row>
    <row r="84" spans="1:7" x14ac:dyDescent="0.3">
      <c r="A84" s="166" t="s">
        <v>602</v>
      </c>
      <c r="B84" s="166" t="s">
        <v>136</v>
      </c>
      <c r="C84" s="166">
        <v>-9326</v>
      </c>
      <c r="D84" s="166"/>
      <c r="E84" s="166"/>
      <c r="F84" s="166"/>
      <c r="G84" s="166"/>
    </row>
    <row r="85" spans="1:7" x14ac:dyDescent="0.3">
      <c r="A85" s="166" t="s">
        <v>603</v>
      </c>
      <c r="B85" s="166" t="s">
        <v>138</v>
      </c>
      <c r="C85" s="166">
        <v>11261</v>
      </c>
      <c r="D85" s="166"/>
      <c r="E85" s="166"/>
      <c r="F85" s="166"/>
      <c r="G85" s="166"/>
    </row>
    <row r="86" spans="1:7" x14ac:dyDescent="0.3">
      <c r="A86" s="166" t="s">
        <v>604</v>
      </c>
      <c r="B86" s="166" t="s">
        <v>137</v>
      </c>
      <c r="C86" s="166">
        <v>12464</v>
      </c>
      <c r="D86" s="166"/>
      <c r="E86" s="166"/>
      <c r="F86" s="166"/>
      <c r="G86" s="166"/>
    </row>
    <row r="87" spans="1:7" x14ac:dyDescent="0.3">
      <c r="A87" s="166" t="s">
        <v>605</v>
      </c>
      <c r="B87" s="166" t="s">
        <v>136</v>
      </c>
      <c r="C87" s="166">
        <v>-3688</v>
      </c>
      <c r="D87" s="166"/>
      <c r="E87" s="166"/>
      <c r="F87" s="166"/>
      <c r="G87" s="166"/>
    </row>
    <row r="88" spans="1:7" x14ac:dyDescent="0.3">
      <c r="A88" s="166" t="s">
        <v>606</v>
      </c>
      <c r="B88" s="166" t="s">
        <v>136</v>
      </c>
      <c r="C88" s="166">
        <v>14045</v>
      </c>
      <c r="D88" s="166"/>
      <c r="E88" s="166"/>
      <c r="F88" s="166"/>
      <c r="G88" s="166"/>
    </row>
    <row r="89" spans="1:7" x14ac:dyDescent="0.3">
      <c r="A89" s="166" t="s">
        <v>607</v>
      </c>
      <c r="B89" s="166" t="s">
        <v>137</v>
      </c>
      <c r="C89" s="166">
        <v>-4303</v>
      </c>
      <c r="D89" s="166"/>
      <c r="E89" s="166"/>
      <c r="F89" s="166"/>
      <c r="G89" s="166"/>
    </row>
    <row r="90" spans="1:7" x14ac:dyDescent="0.3">
      <c r="A90" s="166" t="s">
        <v>608</v>
      </c>
      <c r="B90" s="166" t="s">
        <v>141</v>
      </c>
      <c r="C90" s="166">
        <v>-7078</v>
      </c>
      <c r="D90" s="166"/>
      <c r="E90" s="166"/>
      <c r="F90" s="166"/>
      <c r="G90" s="166"/>
    </row>
    <row r="91" spans="1:7" x14ac:dyDescent="0.3">
      <c r="A91" s="166" t="s">
        <v>609</v>
      </c>
      <c r="B91" s="166" t="s">
        <v>140</v>
      </c>
      <c r="C91" s="166">
        <v>3328</v>
      </c>
      <c r="D91" s="166"/>
      <c r="E91" s="166"/>
      <c r="F91" s="166"/>
      <c r="G91" s="166"/>
    </row>
  </sheetData>
  <mergeCells count="5">
    <mergeCell ref="A1:G1"/>
    <mergeCell ref="A2:G2"/>
    <mergeCell ref="A13:G13"/>
    <mergeCell ref="A25:G25"/>
    <mergeCell ref="A59:G59"/>
  </mergeCells>
  <pageMargins left="0.75" right="0.75" top="1" bottom="1" header="0.511811023622047" footer="0.511811023622047"/>
  <pageSetup paperSize="9" orientation="portrait" horizontalDpi="300"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60919-15D1-4865-AC42-CDBE6542E1D8}">
  <sheetPr>
    <tabColor theme="4" tint="0.79998168889431442"/>
  </sheetPr>
  <dimension ref="A1:G106"/>
  <sheetViews>
    <sheetView zoomScaleNormal="100" workbookViewId="0">
      <pane ySplit="4" topLeftCell="A5" activePane="bottomLeft" state="frozen"/>
      <selection pane="bottomLeft" activeCell="A5" sqref="A5"/>
    </sheetView>
  </sheetViews>
  <sheetFormatPr defaultColWidth="8.6640625" defaultRowHeight="14.4" x14ac:dyDescent="0.3"/>
  <cols>
    <col min="1" max="1" width="17.77734375" style="151" bestFit="1" customWidth="1"/>
    <col min="2" max="2" width="12.44140625" style="151" bestFit="1" customWidth="1"/>
    <col min="3" max="3" width="35.109375" style="151" bestFit="1" customWidth="1"/>
    <col min="4" max="4" width="18.21875" style="151" bestFit="1" customWidth="1"/>
    <col min="5" max="5" width="16.88671875" style="151" bestFit="1" customWidth="1"/>
    <col min="6" max="6" width="27.21875" style="151" bestFit="1" customWidth="1"/>
    <col min="7" max="7" width="19.109375" style="151" bestFit="1" customWidth="1"/>
    <col min="8" max="16384" width="8.6640625" style="151"/>
  </cols>
  <sheetData>
    <row r="1" spans="1:7" ht="33.75" customHeight="1" x14ac:dyDescent="0.3">
      <c r="A1" s="725" t="s">
        <v>611</v>
      </c>
      <c r="B1" s="725"/>
      <c r="C1" s="725"/>
      <c r="D1" s="725"/>
      <c r="E1" s="725"/>
      <c r="F1" s="725"/>
      <c r="G1" s="725"/>
    </row>
    <row r="2" spans="1:7" ht="15.75" customHeight="1" x14ac:dyDescent="0.3">
      <c r="A2" s="726" t="s">
        <v>612</v>
      </c>
      <c r="B2" s="726"/>
      <c r="C2" s="726"/>
      <c r="D2" s="726"/>
      <c r="E2" s="726"/>
      <c r="F2" s="726"/>
      <c r="G2" s="726"/>
    </row>
    <row r="3" spans="1:7" ht="6.75" customHeight="1" x14ac:dyDescent="0.3">
      <c r="A3" s="167"/>
      <c r="B3" s="167"/>
      <c r="C3" s="167"/>
      <c r="D3" s="167"/>
      <c r="E3" s="167"/>
      <c r="F3" s="167"/>
      <c r="G3" s="167"/>
    </row>
    <row r="4" spans="1:7" ht="19.5" customHeight="1" x14ac:dyDescent="0.3">
      <c r="A4" s="723" t="s">
        <v>613</v>
      </c>
      <c r="B4" s="723"/>
      <c r="C4" s="723"/>
      <c r="D4" s="723"/>
      <c r="E4" s="723"/>
      <c r="F4" s="723"/>
      <c r="G4" s="723"/>
    </row>
    <row r="5" spans="1:7" ht="25.5" customHeight="1" thickBot="1" x14ac:dyDescent="0.35">
      <c r="A5" s="168" t="s">
        <v>614</v>
      </c>
      <c r="B5" s="168" t="s">
        <v>615</v>
      </c>
      <c r="C5" s="168" t="s">
        <v>616</v>
      </c>
      <c r="D5" s="168" t="s">
        <v>617</v>
      </c>
      <c r="E5" s="168" t="s">
        <v>618</v>
      </c>
      <c r="F5" s="168" t="s">
        <v>619</v>
      </c>
      <c r="G5" s="168" t="s">
        <v>620</v>
      </c>
    </row>
    <row r="6" spans="1:7" ht="21.75" customHeight="1" thickBot="1" x14ac:dyDescent="0.35">
      <c r="A6" s="169">
        <v>40</v>
      </c>
      <c r="B6" s="169">
        <v>40</v>
      </c>
      <c r="C6" s="170">
        <v>0</v>
      </c>
      <c r="D6" s="171">
        <v>9</v>
      </c>
      <c r="E6" s="172">
        <v>31</v>
      </c>
      <c r="F6" s="172">
        <v>31</v>
      </c>
      <c r="G6" s="173">
        <v>-25298</v>
      </c>
    </row>
    <row r="7" spans="1:7" ht="6.75" customHeight="1" x14ac:dyDescent="0.3">
      <c r="A7" s="174"/>
      <c r="B7" s="174"/>
      <c r="C7" s="174"/>
      <c r="D7" s="174"/>
      <c r="E7" s="174"/>
      <c r="F7" s="174"/>
      <c r="G7" s="174"/>
    </row>
    <row r="8" spans="1:7" ht="19.5" customHeight="1" x14ac:dyDescent="0.3">
      <c r="A8" s="723" t="s">
        <v>621</v>
      </c>
      <c r="B8" s="723"/>
      <c r="C8" s="723"/>
      <c r="D8" s="723"/>
      <c r="E8" s="723"/>
      <c r="F8" s="723"/>
      <c r="G8" s="723"/>
    </row>
    <row r="9" spans="1:7" ht="40.799999999999997" x14ac:dyDescent="0.3">
      <c r="A9" s="175" t="s">
        <v>622</v>
      </c>
      <c r="B9" s="176" t="s">
        <v>623</v>
      </c>
      <c r="C9" s="177" t="s">
        <v>624</v>
      </c>
      <c r="D9" s="176" t="s">
        <v>625</v>
      </c>
      <c r="E9" s="178" t="s">
        <v>626</v>
      </c>
      <c r="F9" s="176" t="s">
        <v>627</v>
      </c>
    </row>
    <row r="10" spans="1:7" ht="6.75" customHeight="1" x14ac:dyDescent="0.3">
      <c r="A10" s="174"/>
      <c r="B10" s="174"/>
      <c r="C10" s="174"/>
      <c r="D10" s="174"/>
      <c r="E10" s="174"/>
      <c r="F10" s="174"/>
      <c r="G10" s="174"/>
    </row>
    <row r="11" spans="1:7" ht="19.5" customHeight="1" x14ac:dyDescent="0.3">
      <c r="A11" s="727" t="s">
        <v>628</v>
      </c>
      <c r="B11" s="727"/>
      <c r="C11" s="727"/>
      <c r="D11" s="727"/>
      <c r="E11" s="727"/>
      <c r="F11" s="727"/>
      <c r="G11" s="727"/>
    </row>
    <row r="12" spans="1:7" ht="18" customHeight="1" x14ac:dyDescent="0.3">
      <c r="A12" s="179" t="s">
        <v>479</v>
      </c>
      <c r="B12" s="179" t="s">
        <v>90</v>
      </c>
      <c r="C12" s="179" t="s">
        <v>134</v>
      </c>
      <c r="D12" s="179" t="s">
        <v>629</v>
      </c>
      <c r="E12" s="179" t="s">
        <v>142</v>
      </c>
      <c r="F12" s="179" t="s">
        <v>630</v>
      </c>
      <c r="G12" s="179"/>
    </row>
    <row r="13" spans="1:7" ht="15" customHeight="1" x14ac:dyDescent="0.3">
      <c r="A13" s="180">
        <v>1</v>
      </c>
      <c r="B13" s="180" t="s">
        <v>579</v>
      </c>
      <c r="C13" s="181" t="s">
        <v>136</v>
      </c>
      <c r="D13" s="182">
        <v>21673</v>
      </c>
      <c r="E13" s="180" t="s">
        <v>136</v>
      </c>
      <c r="F13" s="183" t="s">
        <v>631</v>
      </c>
      <c r="G13" s="184"/>
    </row>
    <row r="14" spans="1:7" ht="15" customHeight="1" x14ac:dyDescent="0.3">
      <c r="A14" s="185">
        <v>2</v>
      </c>
      <c r="B14" s="185" t="s">
        <v>580</v>
      </c>
      <c r="C14" s="186" t="s">
        <v>136</v>
      </c>
      <c r="D14" s="187">
        <v>-13047</v>
      </c>
      <c r="E14" s="185" t="s">
        <v>136</v>
      </c>
      <c r="F14" s="188" t="s">
        <v>631</v>
      </c>
      <c r="G14" s="189"/>
    </row>
    <row r="15" spans="1:7" ht="15" customHeight="1" x14ac:dyDescent="0.3">
      <c r="A15" s="180">
        <v>3</v>
      </c>
      <c r="B15" s="180" t="s">
        <v>581</v>
      </c>
      <c r="C15" s="181" t="s">
        <v>136</v>
      </c>
      <c r="D15" s="182">
        <v>19375</v>
      </c>
      <c r="E15" s="180" t="s">
        <v>136</v>
      </c>
      <c r="F15" s="183" t="s">
        <v>631</v>
      </c>
      <c r="G15" s="184"/>
    </row>
    <row r="16" spans="1:7" ht="15" customHeight="1" x14ac:dyDescent="0.3">
      <c r="A16" s="185">
        <v>4</v>
      </c>
      <c r="B16" s="185" t="s">
        <v>582</v>
      </c>
      <c r="C16" s="186" t="s">
        <v>137</v>
      </c>
      <c r="D16" s="187">
        <v>12429</v>
      </c>
      <c r="E16" s="185" t="s">
        <v>137</v>
      </c>
      <c r="F16" s="188" t="s">
        <v>631</v>
      </c>
      <c r="G16" s="189"/>
    </row>
    <row r="17" spans="1:7" ht="15" customHeight="1" x14ac:dyDescent="0.3">
      <c r="A17" s="180">
        <v>5</v>
      </c>
      <c r="B17" s="180" t="s">
        <v>583</v>
      </c>
      <c r="C17" s="181" t="s">
        <v>139</v>
      </c>
      <c r="D17" s="182">
        <v>15876</v>
      </c>
      <c r="E17" s="180" t="s">
        <v>139</v>
      </c>
      <c r="F17" s="183" t="s">
        <v>631</v>
      </c>
      <c r="G17" s="184"/>
    </row>
    <row r="18" spans="1:7" ht="15" customHeight="1" x14ac:dyDescent="0.3">
      <c r="A18" s="185">
        <v>6</v>
      </c>
      <c r="B18" s="185" t="s">
        <v>584</v>
      </c>
      <c r="C18" s="186" t="s">
        <v>140</v>
      </c>
      <c r="D18" s="187">
        <v>-7221</v>
      </c>
      <c r="E18" s="185" t="s">
        <v>140</v>
      </c>
      <c r="F18" s="188" t="s">
        <v>631</v>
      </c>
      <c r="G18" s="189"/>
    </row>
    <row r="19" spans="1:7" ht="15" customHeight="1" x14ac:dyDescent="0.3">
      <c r="A19" s="180">
        <v>7</v>
      </c>
      <c r="B19" s="180" t="s">
        <v>585</v>
      </c>
      <c r="C19" s="181" t="s">
        <v>140</v>
      </c>
      <c r="D19" s="182">
        <v>-2163</v>
      </c>
      <c r="E19" s="180" t="s">
        <v>140</v>
      </c>
      <c r="F19" s="183" t="s">
        <v>631</v>
      </c>
      <c r="G19" s="184"/>
    </row>
    <row r="20" spans="1:7" ht="15" customHeight="1" x14ac:dyDescent="0.3">
      <c r="A20" s="185">
        <v>8</v>
      </c>
      <c r="B20" s="185" t="s">
        <v>586</v>
      </c>
      <c r="C20" s="186" t="s">
        <v>137</v>
      </c>
      <c r="D20" s="187">
        <v>-9499</v>
      </c>
      <c r="E20" s="185" t="s">
        <v>137</v>
      </c>
      <c r="F20" s="188" t="s">
        <v>631</v>
      </c>
      <c r="G20" s="189"/>
    </row>
    <row r="21" spans="1:7" ht="15" customHeight="1" x14ac:dyDescent="0.3">
      <c r="A21" s="180">
        <v>9</v>
      </c>
      <c r="B21" s="180" t="s">
        <v>587</v>
      </c>
      <c r="C21" s="181" t="s">
        <v>137</v>
      </c>
      <c r="D21" s="182">
        <v>-14246</v>
      </c>
      <c r="E21" s="180" t="s">
        <v>137</v>
      </c>
      <c r="F21" s="183" t="s">
        <v>631</v>
      </c>
      <c r="G21" s="184"/>
    </row>
    <row r="22" spans="1:7" ht="15" customHeight="1" x14ac:dyDescent="0.3">
      <c r="A22" s="185">
        <v>10</v>
      </c>
      <c r="B22" s="185" t="s">
        <v>588</v>
      </c>
      <c r="C22" s="186" t="s">
        <v>138</v>
      </c>
      <c r="D22" s="187">
        <v>12737</v>
      </c>
      <c r="E22" s="185" t="s">
        <v>138</v>
      </c>
      <c r="F22" s="188" t="s">
        <v>631</v>
      </c>
      <c r="G22" s="189"/>
    </row>
    <row r="23" spans="1:7" ht="15" customHeight="1" x14ac:dyDescent="0.3">
      <c r="A23" s="180">
        <v>11</v>
      </c>
      <c r="B23" s="180" t="s">
        <v>589</v>
      </c>
      <c r="C23" s="181" t="s">
        <v>140</v>
      </c>
      <c r="D23" s="182">
        <v>-11846</v>
      </c>
      <c r="E23" s="180" t="s">
        <v>140</v>
      </c>
      <c r="F23" s="183" t="s">
        <v>631</v>
      </c>
      <c r="G23" s="184"/>
    </row>
    <row r="24" spans="1:7" ht="15" customHeight="1" x14ac:dyDescent="0.3">
      <c r="A24" s="185">
        <v>12</v>
      </c>
      <c r="B24" s="185" t="s">
        <v>590</v>
      </c>
      <c r="C24" s="186" t="s">
        <v>139</v>
      </c>
      <c r="D24" s="187">
        <v>-5231</v>
      </c>
      <c r="E24" s="185" t="s">
        <v>139</v>
      </c>
      <c r="F24" s="188" t="s">
        <v>631</v>
      </c>
      <c r="G24" s="189"/>
    </row>
    <row r="25" spans="1:7" ht="15" customHeight="1" x14ac:dyDescent="0.3">
      <c r="A25" s="180">
        <v>13</v>
      </c>
      <c r="B25" s="180" t="s">
        <v>591</v>
      </c>
      <c r="C25" s="181" t="s">
        <v>140</v>
      </c>
      <c r="D25" s="182">
        <v>24311</v>
      </c>
      <c r="E25" s="180" t="s">
        <v>140</v>
      </c>
      <c r="F25" s="183" t="s">
        <v>631</v>
      </c>
      <c r="G25" s="184"/>
    </row>
    <row r="26" spans="1:7" ht="15" customHeight="1" x14ac:dyDescent="0.3">
      <c r="A26" s="185">
        <v>14</v>
      </c>
      <c r="B26" s="185" t="s">
        <v>592</v>
      </c>
      <c r="C26" s="186" t="s">
        <v>139</v>
      </c>
      <c r="D26" s="187">
        <v>9396</v>
      </c>
      <c r="E26" s="185" t="s">
        <v>139</v>
      </c>
      <c r="F26" s="188" t="s">
        <v>631</v>
      </c>
      <c r="G26" s="189"/>
    </row>
    <row r="27" spans="1:7" ht="15" customHeight="1" x14ac:dyDescent="0.3">
      <c r="A27" s="180">
        <v>15</v>
      </c>
      <c r="B27" s="180" t="s">
        <v>593</v>
      </c>
      <c r="C27" s="181" t="s">
        <v>139</v>
      </c>
      <c r="D27" s="182">
        <v>3161</v>
      </c>
      <c r="E27" s="180" t="s">
        <v>139</v>
      </c>
      <c r="F27" s="183" t="s">
        <v>631</v>
      </c>
      <c r="G27" s="184"/>
    </row>
    <row r="28" spans="1:7" ht="15" customHeight="1" x14ac:dyDescent="0.3">
      <c r="A28" s="185">
        <v>16</v>
      </c>
      <c r="B28" s="185" t="s">
        <v>594</v>
      </c>
      <c r="C28" s="186" t="s">
        <v>140</v>
      </c>
      <c r="D28" s="187">
        <v>10506</v>
      </c>
      <c r="E28" s="185" t="s">
        <v>140</v>
      </c>
      <c r="F28" s="188" t="s">
        <v>631</v>
      </c>
      <c r="G28" s="189"/>
    </row>
    <row r="29" spans="1:7" ht="15" customHeight="1" x14ac:dyDescent="0.3">
      <c r="A29" s="180">
        <v>17</v>
      </c>
      <c r="B29" s="180" t="s">
        <v>595</v>
      </c>
      <c r="C29" s="181" t="s">
        <v>137</v>
      </c>
      <c r="D29" s="182">
        <v>4979</v>
      </c>
      <c r="E29" s="180" t="s">
        <v>137</v>
      </c>
      <c r="F29" s="183" t="s">
        <v>631</v>
      </c>
      <c r="G29" s="184"/>
    </row>
    <row r="30" spans="1:7" ht="15" customHeight="1" x14ac:dyDescent="0.3">
      <c r="A30" s="185">
        <v>18</v>
      </c>
      <c r="B30" s="185" t="s">
        <v>596</v>
      </c>
      <c r="C30" s="186" t="s">
        <v>140</v>
      </c>
      <c r="D30" s="187">
        <v>6912</v>
      </c>
      <c r="E30" s="185" t="s">
        <v>140</v>
      </c>
      <c r="F30" s="188" t="s">
        <v>631</v>
      </c>
      <c r="G30" s="189"/>
    </row>
    <row r="31" spans="1:7" ht="15" customHeight="1" x14ac:dyDescent="0.3">
      <c r="A31" s="180">
        <v>19</v>
      </c>
      <c r="B31" s="180" t="s">
        <v>597</v>
      </c>
      <c r="C31" s="181" t="s">
        <v>139</v>
      </c>
      <c r="D31" s="182">
        <v>-9385</v>
      </c>
      <c r="E31" s="180" t="s">
        <v>139</v>
      </c>
      <c r="F31" s="183" t="s">
        <v>631</v>
      </c>
      <c r="G31" s="184"/>
    </row>
    <row r="32" spans="1:7" ht="15" customHeight="1" x14ac:dyDescent="0.3">
      <c r="A32" s="185">
        <v>20</v>
      </c>
      <c r="B32" s="185" t="s">
        <v>598</v>
      </c>
      <c r="C32" s="186" t="s">
        <v>140</v>
      </c>
      <c r="D32" s="187">
        <v>1906</v>
      </c>
      <c r="E32" s="185" t="s">
        <v>140</v>
      </c>
      <c r="F32" s="188" t="s">
        <v>631</v>
      </c>
      <c r="G32" s="189"/>
    </row>
    <row r="33" spans="1:7" ht="15" customHeight="1" x14ac:dyDescent="0.3">
      <c r="A33" s="180">
        <v>21</v>
      </c>
      <c r="B33" s="180" t="s">
        <v>599</v>
      </c>
      <c r="C33" s="181" t="s">
        <v>138</v>
      </c>
      <c r="D33" s="182">
        <v>1327</v>
      </c>
      <c r="E33" s="180" t="s">
        <v>138</v>
      </c>
      <c r="F33" s="183" t="s">
        <v>631</v>
      </c>
      <c r="G33" s="184"/>
    </row>
    <row r="34" spans="1:7" ht="15" customHeight="1" x14ac:dyDescent="0.3">
      <c r="A34" s="185">
        <v>22</v>
      </c>
      <c r="B34" s="185" t="s">
        <v>600</v>
      </c>
      <c r="C34" s="186" t="s">
        <v>137</v>
      </c>
      <c r="D34" s="187">
        <v>14420</v>
      </c>
      <c r="E34" s="185" t="s">
        <v>137</v>
      </c>
      <c r="F34" s="188" t="s">
        <v>631</v>
      </c>
      <c r="G34" s="189"/>
    </row>
    <row r="35" spans="1:7" ht="15" customHeight="1" x14ac:dyDescent="0.3">
      <c r="A35" s="180">
        <v>23</v>
      </c>
      <c r="B35" s="180" t="s">
        <v>601</v>
      </c>
      <c r="C35" s="181" t="s">
        <v>137</v>
      </c>
      <c r="D35" s="182">
        <v>-9725</v>
      </c>
      <c r="E35" s="180" t="s">
        <v>137</v>
      </c>
      <c r="F35" s="183" t="s">
        <v>631</v>
      </c>
      <c r="G35" s="184"/>
    </row>
    <row r="36" spans="1:7" ht="15" customHeight="1" x14ac:dyDescent="0.3">
      <c r="A36" s="185">
        <v>24</v>
      </c>
      <c r="B36" s="185" t="s">
        <v>602</v>
      </c>
      <c r="C36" s="186" t="s">
        <v>139</v>
      </c>
      <c r="D36" s="187">
        <v>24797</v>
      </c>
      <c r="E36" s="185" t="s">
        <v>139</v>
      </c>
      <c r="F36" s="188" t="s">
        <v>631</v>
      </c>
      <c r="G36" s="189"/>
    </row>
    <row r="37" spans="1:7" ht="15" customHeight="1" x14ac:dyDescent="0.3">
      <c r="A37" s="180">
        <v>25</v>
      </c>
      <c r="B37" s="180" t="s">
        <v>603</v>
      </c>
      <c r="C37" s="181" t="s">
        <v>136</v>
      </c>
      <c r="D37" s="182">
        <v>-7506</v>
      </c>
      <c r="E37" s="180" t="s">
        <v>136</v>
      </c>
      <c r="F37" s="183" t="s">
        <v>631</v>
      </c>
      <c r="G37" s="184"/>
    </row>
    <row r="38" spans="1:7" ht="15" customHeight="1" x14ac:dyDescent="0.3">
      <c r="A38" s="185">
        <v>26</v>
      </c>
      <c r="B38" s="185" t="s">
        <v>604</v>
      </c>
      <c r="C38" s="186" t="s">
        <v>138</v>
      </c>
      <c r="D38" s="187">
        <v>-7827</v>
      </c>
      <c r="E38" s="185" t="s">
        <v>138</v>
      </c>
      <c r="F38" s="188" t="s">
        <v>631</v>
      </c>
      <c r="G38" s="189"/>
    </row>
    <row r="39" spans="1:7" ht="15" customHeight="1" x14ac:dyDescent="0.3">
      <c r="A39" s="180">
        <v>27</v>
      </c>
      <c r="B39" s="180" t="s">
        <v>605</v>
      </c>
      <c r="C39" s="181" t="s">
        <v>137</v>
      </c>
      <c r="D39" s="182">
        <v>9853</v>
      </c>
      <c r="E39" s="180" t="s">
        <v>137</v>
      </c>
      <c r="F39" s="183" t="s">
        <v>631</v>
      </c>
      <c r="G39" s="184"/>
    </row>
    <row r="40" spans="1:7" ht="15" customHeight="1" x14ac:dyDescent="0.3">
      <c r="A40" s="185">
        <v>28</v>
      </c>
      <c r="B40" s="185" t="s">
        <v>606</v>
      </c>
      <c r="C40" s="186" t="s">
        <v>139</v>
      </c>
      <c r="D40" s="187">
        <v>244</v>
      </c>
      <c r="E40" s="185" t="s">
        <v>139</v>
      </c>
      <c r="F40" s="188" t="s">
        <v>631</v>
      </c>
      <c r="G40" s="189"/>
    </row>
    <row r="41" spans="1:7" ht="15" customHeight="1" x14ac:dyDescent="0.3">
      <c r="A41" s="180">
        <v>29</v>
      </c>
      <c r="B41" s="180" t="s">
        <v>607</v>
      </c>
      <c r="C41" s="181" t="s">
        <v>139</v>
      </c>
      <c r="D41" s="182">
        <v>-3276</v>
      </c>
      <c r="E41" s="180" t="s">
        <v>139</v>
      </c>
      <c r="F41" s="183" t="s">
        <v>631</v>
      </c>
      <c r="G41" s="184"/>
    </row>
    <row r="42" spans="1:7" ht="15" customHeight="1" x14ac:dyDescent="0.3">
      <c r="A42" s="185">
        <v>30</v>
      </c>
      <c r="B42" s="185" t="s">
        <v>608</v>
      </c>
      <c r="C42" s="186" t="s">
        <v>137</v>
      </c>
      <c r="D42" s="187">
        <v>6966</v>
      </c>
      <c r="E42" s="185" t="s">
        <v>137</v>
      </c>
      <c r="F42" s="188" t="s">
        <v>631</v>
      </c>
      <c r="G42" s="189"/>
    </row>
    <row r="43" spans="1:7" ht="15" customHeight="1" thickBot="1" x14ac:dyDescent="0.35">
      <c r="A43" s="180">
        <v>31</v>
      </c>
      <c r="B43" s="180" t="s">
        <v>609</v>
      </c>
      <c r="C43" s="181" t="s">
        <v>137</v>
      </c>
      <c r="D43" s="182">
        <v>23021</v>
      </c>
      <c r="E43" s="180" t="s">
        <v>137</v>
      </c>
      <c r="F43" s="183" t="s">
        <v>631</v>
      </c>
      <c r="G43" s="184"/>
    </row>
    <row r="44" spans="1:7" ht="15.75" customHeight="1" thickBot="1" x14ac:dyDescent="0.35">
      <c r="A44" s="190"/>
      <c r="B44" s="190"/>
      <c r="C44" s="190" t="s">
        <v>632</v>
      </c>
      <c r="D44" s="191">
        <v>122917</v>
      </c>
      <c r="E44" s="190"/>
      <c r="F44" s="190"/>
      <c r="G44" s="190"/>
    </row>
    <row r="45" spans="1:7" ht="6.75" customHeight="1" x14ac:dyDescent="0.3">
      <c r="A45" s="174"/>
      <c r="B45" s="174"/>
      <c r="C45" s="174"/>
      <c r="D45" s="174"/>
      <c r="E45" s="174"/>
      <c r="F45" s="174"/>
      <c r="G45" s="174"/>
    </row>
    <row r="46" spans="1:7" ht="19.5" customHeight="1" x14ac:dyDescent="0.3">
      <c r="A46" s="727" t="s">
        <v>633</v>
      </c>
      <c r="B46" s="727"/>
      <c r="C46" s="727"/>
      <c r="D46" s="727"/>
      <c r="E46" s="727"/>
      <c r="F46" s="727"/>
      <c r="G46" s="727"/>
    </row>
    <row r="47" spans="1:7" ht="18" customHeight="1" x14ac:dyDescent="0.3">
      <c r="A47" s="179" t="s">
        <v>479</v>
      </c>
      <c r="B47" s="179" t="s">
        <v>90</v>
      </c>
      <c r="C47" s="179" t="s">
        <v>134</v>
      </c>
      <c r="D47" s="179" t="s">
        <v>629</v>
      </c>
      <c r="E47" s="179" t="s">
        <v>142</v>
      </c>
      <c r="F47" s="179" t="s">
        <v>630</v>
      </c>
      <c r="G47" s="179"/>
    </row>
    <row r="48" spans="1:7" ht="15" customHeight="1" x14ac:dyDescent="0.3">
      <c r="A48" s="180">
        <v>1</v>
      </c>
      <c r="B48" s="180" t="s">
        <v>579</v>
      </c>
      <c r="C48" s="181" t="s">
        <v>140</v>
      </c>
      <c r="D48" s="182">
        <v>10997</v>
      </c>
      <c r="E48" s="180" t="s">
        <v>140</v>
      </c>
      <c r="F48" s="183" t="s">
        <v>634</v>
      </c>
      <c r="G48" s="184"/>
    </row>
    <row r="49" spans="1:7" ht="15" customHeight="1" x14ac:dyDescent="0.3">
      <c r="A49" s="185">
        <v>2</v>
      </c>
      <c r="B49" s="185" t="s">
        <v>580</v>
      </c>
      <c r="C49" s="186" t="s">
        <v>138</v>
      </c>
      <c r="D49" s="187">
        <v>19376</v>
      </c>
      <c r="E49" s="185" t="s">
        <v>138</v>
      </c>
      <c r="F49" s="188" t="s">
        <v>634</v>
      </c>
      <c r="G49" s="189"/>
    </row>
    <row r="50" spans="1:7" ht="15" customHeight="1" x14ac:dyDescent="0.3">
      <c r="A50" s="180">
        <v>3</v>
      </c>
      <c r="B50" s="180" t="s">
        <v>581</v>
      </c>
      <c r="C50" s="181" t="s">
        <v>138</v>
      </c>
      <c r="D50" s="182">
        <v>18559</v>
      </c>
      <c r="E50" s="180" t="s">
        <v>138</v>
      </c>
      <c r="F50" s="183" t="s">
        <v>634</v>
      </c>
      <c r="G50" s="184"/>
    </row>
    <row r="51" spans="1:7" ht="15" customHeight="1" x14ac:dyDescent="0.3">
      <c r="A51" s="185">
        <v>4</v>
      </c>
      <c r="B51" s="185" t="s">
        <v>582</v>
      </c>
      <c r="C51" s="186" t="s">
        <v>140</v>
      </c>
      <c r="D51" s="187">
        <v>-7646</v>
      </c>
      <c r="E51" s="185" t="s">
        <v>140</v>
      </c>
      <c r="F51" s="188" t="s">
        <v>634</v>
      </c>
      <c r="G51" s="189"/>
    </row>
    <row r="52" spans="1:7" ht="15" customHeight="1" x14ac:dyDescent="0.3">
      <c r="A52" s="180">
        <v>5</v>
      </c>
      <c r="B52" s="180" t="s">
        <v>583</v>
      </c>
      <c r="C52" s="181" t="s">
        <v>140</v>
      </c>
      <c r="D52" s="182">
        <v>17153</v>
      </c>
      <c r="E52" s="180" t="s">
        <v>140</v>
      </c>
      <c r="F52" s="183" t="s">
        <v>634</v>
      </c>
      <c r="G52" s="184"/>
    </row>
    <row r="53" spans="1:7" ht="15" customHeight="1" x14ac:dyDescent="0.3">
      <c r="A53" s="185">
        <v>6</v>
      </c>
      <c r="B53" s="185" t="s">
        <v>584</v>
      </c>
      <c r="C53" s="186" t="s">
        <v>137</v>
      </c>
      <c r="D53" s="187">
        <v>-4586</v>
      </c>
      <c r="E53" s="185" t="s">
        <v>137</v>
      </c>
      <c r="F53" s="188" t="s">
        <v>634</v>
      </c>
      <c r="G53" s="189"/>
    </row>
    <row r="54" spans="1:7" ht="15" customHeight="1" x14ac:dyDescent="0.3">
      <c r="A54" s="180">
        <v>7</v>
      </c>
      <c r="B54" s="180" t="s">
        <v>585</v>
      </c>
      <c r="C54" s="181" t="s">
        <v>138</v>
      </c>
      <c r="D54" s="182">
        <v>-3633</v>
      </c>
      <c r="E54" s="180" t="s">
        <v>138</v>
      </c>
      <c r="F54" s="183" t="s">
        <v>634</v>
      </c>
      <c r="G54" s="184"/>
    </row>
    <row r="55" spans="1:7" ht="15" customHeight="1" x14ac:dyDescent="0.3">
      <c r="A55" s="185">
        <v>8</v>
      </c>
      <c r="B55" s="185" t="s">
        <v>586</v>
      </c>
      <c r="C55" s="186" t="s">
        <v>141</v>
      </c>
      <c r="D55" s="187">
        <v>12001</v>
      </c>
      <c r="E55" s="185" t="s">
        <v>141</v>
      </c>
      <c r="F55" s="188" t="s">
        <v>634</v>
      </c>
      <c r="G55" s="189"/>
    </row>
    <row r="56" spans="1:7" ht="15" customHeight="1" x14ac:dyDescent="0.3">
      <c r="A56" s="180">
        <v>9</v>
      </c>
      <c r="B56" s="180" t="s">
        <v>587</v>
      </c>
      <c r="C56" s="181" t="s">
        <v>140</v>
      </c>
      <c r="D56" s="182">
        <v>-8247</v>
      </c>
      <c r="E56" s="180" t="s">
        <v>140</v>
      </c>
      <c r="F56" s="183" t="s">
        <v>634</v>
      </c>
      <c r="G56" s="184"/>
    </row>
    <row r="57" spans="1:7" ht="15" customHeight="1" x14ac:dyDescent="0.3">
      <c r="A57" s="185">
        <v>10</v>
      </c>
      <c r="B57" s="185" t="s">
        <v>588</v>
      </c>
      <c r="C57" s="186" t="s">
        <v>140</v>
      </c>
      <c r="D57" s="187">
        <v>18674</v>
      </c>
      <c r="E57" s="185" t="s">
        <v>140</v>
      </c>
      <c r="F57" s="188" t="s">
        <v>634</v>
      </c>
      <c r="G57" s="189"/>
    </row>
    <row r="58" spans="1:7" ht="15" customHeight="1" x14ac:dyDescent="0.3">
      <c r="A58" s="180">
        <v>11</v>
      </c>
      <c r="B58" s="180" t="s">
        <v>589</v>
      </c>
      <c r="C58" s="181" t="s">
        <v>141</v>
      </c>
      <c r="D58" s="182">
        <v>-10525</v>
      </c>
      <c r="E58" s="180" t="s">
        <v>141</v>
      </c>
      <c r="F58" s="183" t="s">
        <v>634</v>
      </c>
      <c r="G58" s="184"/>
    </row>
    <row r="59" spans="1:7" ht="15" customHeight="1" x14ac:dyDescent="0.3">
      <c r="A59" s="185">
        <v>12</v>
      </c>
      <c r="B59" s="185" t="s">
        <v>590</v>
      </c>
      <c r="C59" s="186" t="s">
        <v>137</v>
      </c>
      <c r="D59" s="187">
        <v>20984</v>
      </c>
      <c r="E59" s="185" t="s">
        <v>137</v>
      </c>
      <c r="F59" s="188" t="s">
        <v>634</v>
      </c>
      <c r="G59" s="189"/>
    </row>
    <row r="60" spans="1:7" ht="15" customHeight="1" x14ac:dyDescent="0.3">
      <c r="A60" s="180">
        <v>13</v>
      </c>
      <c r="B60" s="180" t="s">
        <v>591</v>
      </c>
      <c r="C60" s="181" t="s">
        <v>137</v>
      </c>
      <c r="D60" s="182">
        <v>21968</v>
      </c>
      <c r="E60" s="180" t="s">
        <v>137</v>
      </c>
      <c r="F60" s="183" t="s">
        <v>634</v>
      </c>
      <c r="G60" s="184"/>
    </row>
    <row r="61" spans="1:7" ht="15" customHeight="1" x14ac:dyDescent="0.3">
      <c r="A61" s="185">
        <v>14</v>
      </c>
      <c r="B61" s="185" t="s">
        <v>592</v>
      </c>
      <c r="C61" s="186" t="s">
        <v>141</v>
      </c>
      <c r="D61" s="187">
        <v>22634</v>
      </c>
      <c r="E61" s="185" t="s">
        <v>141</v>
      </c>
      <c r="F61" s="188" t="s">
        <v>634</v>
      </c>
      <c r="G61" s="189"/>
    </row>
    <row r="62" spans="1:7" ht="15" customHeight="1" x14ac:dyDescent="0.3">
      <c r="A62" s="180">
        <v>15</v>
      </c>
      <c r="B62" s="180" t="s">
        <v>593</v>
      </c>
      <c r="C62" s="181" t="s">
        <v>137</v>
      </c>
      <c r="D62" s="182">
        <v>22694</v>
      </c>
      <c r="E62" s="180" t="s">
        <v>137</v>
      </c>
      <c r="F62" s="183" t="s">
        <v>634</v>
      </c>
      <c r="G62" s="184"/>
    </row>
    <row r="63" spans="1:7" ht="15" customHeight="1" x14ac:dyDescent="0.3">
      <c r="A63" s="185">
        <v>16</v>
      </c>
      <c r="B63" s="185" t="s">
        <v>594</v>
      </c>
      <c r="C63" s="186" t="s">
        <v>138</v>
      </c>
      <c r="D63" s="187">
        <v>15762</v>
      </c>
      <c r="E63" s="185" t="s">
        <v>138</v>
      </c>
      <c r="F63" s="188" t="s">
        <v>634</v>
      </c>
      <c r="G63" s="189"/>
    </row>
    <row r="64" spans="1:7" ht="15" customHeight="1" x14ac:dyDescent="0.3">
      <c r="A64" s="180">
        <v>17</v>
      </c>
      <c r="B64" s="180" t="s">
        <v>595</v>
      </c>
      <c r="C64" s="181" t="s">
        <v>141</v>
      </c>
      <c r="D64" s="182">
        <v>23560</v>
      </c>
      <c r="E64" s="180" t="s">
        <v>141</v>
      </c>
      <c r="F64" s="183" t="s">
        <v>634</v>
      </c>
      <c r="G64" s="184"/>
    </row>
    <row r="65" spans="1:7" ht="15" customHeight="1" x14ac:dyDescent="0.3">
      <c r="A65" s="185">
        <v>18</v>
      </c>
      <c r="B65" s="185" t="s">
        <v>596</v>
      </c>
      <c r="C65" s="186" t="s">
        <v>136</v>
      </c>
      <c r="D65" s="187">
        <v>-1989</v>
      </c>
      <c r="E65" s="185" t="s">
        <v>136</v>
      </c>
      <c r="F65" s="188" t="s">
        <v>634</v>
      </c>
      <c r="G65" s="189"/>
    </row>
    <row r="66" spans="1:7" ht="15" customHeight="1" x14ac:dyDescent="0.3">
      <c r="A66" s="180">
        <v>19</v>
      </c>
      <c r="B66" s="180" t="s">
        <v>597</v>
      </c>
      <c r="C66" s="181" t="s">
        <v>140</v>
      </c>
      <c r="D66" s="182">
        <v>5307</v>
      </c>
      <c r="E66" s="180" t="s">
        <v>140</v>
      </c>
      <c r="F66" s="183" t="s">
        <v>634</v>
      </c>
      <c r="G66" s="184"/>
    </row>
    <row r="67" spans="1:7" ht="15" customHeight="1" x14ac:dyDescent="0.3">
      <c r="A67" s="185">
        <v>20</v>
      </c>
      <c r="B67" s="185" t="s">
        <v>598</v>
      </c>
      <c r="C67" s="186" t="s">
        <v>141</v>
      </c>
      <c r="D67" s="187">
        <v>5529</v>
      </c>
      <c r="E67" s="185" t="s">
        <v>141</v>
      </c>
      <c r="F67" s="188" t="s">
        <v>634</v>
      </c>
      <c r="G67" s="189"/>
    </row>
    <row r="68" spans="1:7" ht="15" customHeight="1" x14ac:dyDescent="0.3">
      <c r="A68" s="180">
        <v>21</v>
      </c>
      <c r="B68" s="180" t="s">
        <v>599</v>
      </c>
      <c r="C68" s="181" t="s">
        <v>136</v>
      </c>
      <c r="D68" s="182">
        <v>-8286</v>
      </c>
      <c r="E68" s="180" t="s">
        <v>136</v>
      </c>
      <c r="F68" s="183" t="s">
        <v>634</v>
      </c>
      <c r="G68" s="184"/>
    </row>
    <row r="69" spans="1:7" ht="15" customHeight="1" x14ac:dyDescent="0.3">
      <c r="A69" s="185">
        <v>22</v>
      </c>
      <c r="B69" s="185" t="s">
        <v>600</v>
      </c>
      <c r="C69" s="186" t="s">
        <v>140</v>
      </c>
      <c r="D69" s="187">
        <v>18993</v>
      </c>
      <c r="E69" s="185" t="s">
        <v>140</v>
      </c>
      <c r="F69" s="188" t="s">
        <v>634</v>
      </c>
      <c r="G69" s="189"/>
    </row>
    <row r="70" spans="1:7" ht="15" customHeight="1" x14ac:dyDescent="0.3">
      <c r="A70" s="180">
        <v>23</v>
      </c>
      <c r="B70" s="180" t="s">
        <v>601</v>
      </c>
      <c r="C70" s="181" t="s">
        <v>138</v>
      </c>
      <c r="D70" s="182">
        <v>-5876</v>
      </c>
      <c r="E70" s="180" t="s">
        <v>138</v>
      </c>
      <c r="F70" s="183" t="s">
        <v>634</v>
      </c>
      <c r="G70" s="184"/>
    </row>
    <row r="71" spans="1:7" ht="15" customHeight="1" x14ac:dyDescent="0.3">
      <c r="A71" s="185">
        <v>24</v>
      </c>
      <c r="B71" s="185" t="s">
        <v>602</v>
      </c>
      <c r="C71" s="186" t="s">
        <v>136</v>
      </c>
      <c r="D71" s="187">
        <v>-9326</v>
      </c>
      <c r="E71" s="185" t="s">
        <v>136</v>
      </c>
      <c r="F71" s="188" t="s">
        <v>634</v>
      </c>
      <c r="G71" s="189"/>
    </row>
    <row r="72" spans="1:7" ht="15" customHeight="1" x14ac:dyDescent="0.3">
      <c r="A72" s="180">
        <v>25</v>
      </c>
      <c r="B72" s="180" t="s">
        <v>603</v>
      </c>
      <c r="C72" s="181" t="s">
        <v>138</v>
      </c>
      <c r="D72" s="182">
        <v>11261</v>
      </c>
      <c r="E72" s="180" t="s">
        <v>138</v>
      </c>
      <c r="F72" s="183" t="s">
        <v>634</v>
      </c>
      <c r="G72" s="184"/>
    </row>
    <row r="73" spans="1:7" ht="15" customHeight="1" x14ac:dyDescent="0.3">
      <c r="A73" s="185">
        <v>26</v>
      </c>
      <c r="B73" s="185" t="s">
        <v>604</v>
      </c>
      <c r="C73" s="186" t="s">
        <v>137</v>
      </c>
      <c r="D73" s="187">
        <v>12464</v>
      </c>
      <c r="E73" s="185" t="s">
        <v>137</v>
      </c>
      <c r="F73" s="188" t="s">
        <v>634</v>
      </c>
      <c r="G73" s="189"/>
    </row>
    <row r="74" spans="1:7" ht="15" customHeight="1" x14ac:dyDescent="0.3">
      <c r="A74" s="180">
        <v>27</v>
      </c>
      <c r="B74" s="180" t="s">
        <v>605</v>
      </c>
      <c r="C74" s="181" t="s">
        <v>136</v>
      </c>
      <c r="D74" s="182">
        <v>-3688</v>
      </c>
      <c r="E74" s="180" t="s">
        <v>136</v>
      </c>
      <c r="F74" s="183" t="s">
        <v>634</v>
      </c>
      <c r="G74" s="184"/>
    </row>
    <row r="75" spans="1:7" ht="15" customHeight="1" x14ac:dyDescent="0.3">
      <c r="A75" s="185">
        <v>28</v>
      </c>
      <c r="B75" s="185" t="s">
        <v>606</v>
      </c>
      <c r="C75" s="186" t="s">
        <v>136</v>
      </c>
      <c r="D75" s="187">
        <v>14045</v>
      </c>
      <c r="E75" s="185" t="s">
        <v>136</v>
      </c>
      <c r="F75" s="188" t="s">
        <v>634</v>
      </c>
      <c r="G75" s="189"/>
    </row>
    <row r="76" spans="1:7" ht="15" customHeight="1" x14ac:dyDescent="0.3">
      <c r="A76" s="180">
        <v>29</v>
      </c>
      <c r="B76" s="180" t="s">
        <v>607</v>
      </c>
      <c r="C76" s="181" t="s">
        <v>137</v>
      </c>
      <c r="D76" s="182">
        <v>-4303</v>
      </c>
      <c r="E76" s="180" t="s">
        <v>137</v>
      </c>
      <c r="F76" s="183" t="s">
        <v>634</v>
      </c>
      <c r="G76" s="184"/>
    </row>
    <row r="77" spans="1:7" ht="15" customHeight="1" x14ac:dyDescent="0.3">
      <c r="A77" s="185">
        <v>30</v>
      </c>
      <c r="B77" s="185" t="s">
        <v>608</v>
      </c>
      <c r="C77" s="186" t="s">
        <v>141</v>
      </c>
      <c r="D77" s="187">
        <v>-7078</v>
      </c>
      <c r="E77" s="185" t="s">
        <v>141</v>
      </c>
      <c r="F77" s="188" t="s">
        <v>634</v>
      </c>
      <c r="G77" s="189"/>
    </row>
    <row r="78" spans="1:7" ht="15" customHeight="1" thickBot="1" x14ac:dyDescent="0.35">
      <c r="A78" s="180">
        <v>31</v>
      </c>
      <c r="B78" s="180" t="s">
        <v>609</v>
      </c>
      <c r="C78" s="181" t="s">
        <v>140</v>
      </c>
      <c r="D78" s="182">
        <v>3328</v>
      </c>
      <c r="E78" s="180" t="s">
        <v>140</v>
      </c>
      <c r="F78" s="183" t="s">
        <v>634</v>
      </c>
      <c r="G78" s="184"/>
    </row>
    <row r="79" spans="1:7" ht="15.75" customHeight="1" thickBot="1" x14ac:dyDescent="0.35">
      <c r="A79" s="190"/>
      <c r="B79" s="190"/>
      <c r="C79" s="190" t="s">
        <v>635</v>
      </c>
      <c r="D79" s="191">
        <v>220106</v>
      </c>
      <c r="E79" s="190"/>
      <c r="F79" s="190"/>
      <c r="G79" s="190"/>
    </row>
    <row r="80" spans="1:7" ht="6.75" customHeight="1" x14ac:dyDescent="0.3">
      <c r="A80" s="174"/>
      <c r="B80" s="174"/>
      <c r="C80" s="174"/>
      <c r="D80" s="174"/>
      <c r="E80" s="174"/>
      <c r="F80" s="174"/>
      <c r="G80" s="174"/>
    </row>
    <row r="81" spans="1:7" ht="19.5" customHeight="1" x14ac:dyDescent="0.3">
      <c r="A81" s="722" t="s">
        <v>636</v>
      </c>
      <c r="B81" s="722"/>
      <c r="C81" s="722"/>
      <c r="D81" s="722"/>
      <c r="E81" s="722"/>
      <c r="F81" s="722"/>
      <c r="G81" s="722"/>
    </row>
    <row r="82" spans="1:7" ht="18" customHeight="1" x14ac:dyDescent="0.3">
      <c r="A82" s="192" t="s">
        <v>479</v>
      </c>
      <c r="B82" s="192" t="s">
        <v>90</v>
      </c>
      <c r="C82" s="192" t="s">
        <v>134</v>
      </c>
      <c r="D82" s="192" t="s">
        <v>637</v>
      </c>
      <c r="E82" s="192" t="s">
        <v>638</v>
      </c>
      <c r="F82" s="192" t="s">
        <v>639</v>
      </c>
      <c r="G82" s="192" t="s">
        <v>640</v>
      </c>
    </row>
    <row r="83" spans="1:7" ht="15" customHeight="1" x14ac:dyDescent="0.3">
      <c r="A83" s="193">
        <v>1</v>
      </c>
      <c r="B83" s="193" t="s">
        <v>569</v>
      </c>
      <c r="C83" s="194" t="s">
        <v>138</v>
      </c>
      <c r="D83" s="195">
        <v>9070</v>
      </c>
      <c r="E83" s="195">
        <v>2360</v>
      </c>
      <c r="F83" s="195">
        <v>6710</v>
      </c>
      <c r="G83" s="196" t="s">
        <v>641</v>
      </c>
    </row>
    <row r="84" spans="1:7" ht="15" customHeight="1" x14ac:dyDescent="0.3">
      <c r="A84" s="197">
        <v>2</v>
      </c>
      <c r="B84" s="197" t="s">
        <v>570</v>
      </c>
      <c r="C84" s="198" t="s">
        <v>137</v>
      </c>
      <c r="D84" s="199">
        <v>8049</v>
      </c>
      <c r="E84" s="199">
        <v>-11811</v>
      </c>
      <c r="F84" s="199">
        <v>19860</v>
      </c>
      <c r="G84" s="200" t="s">
        <v>641</v>
      </c>
    </row>
    <row r="85" spans="1:7" ht="15" customHeight="1" x14ac:dyDescent="0.3">
      <c r="A85" s="193">
        <v>3</v>
      </c>
      <c r="B85" s="193" t="s">
        <v>571</v>
      </c>
      <c r="C85" s="194" t="s">
        <v>136</v>
      </c>
      <c r="D85" s="195">
        <v>14921</v>
      </c>
      <c r="E85" s="195">
        <v>10523</v>
      </c>
      <c r="F85" s="195">
        <v>4398</v>
      </c>
      <c r="G85" s="196" t="s">
        <v>641</v>
      </c>
    </row>
    <row r="86" spans="1:7" ht="15" customHeight="1" x14ac:dyDescent="0.3">
      <c r="A86" s="197">
        <v>4</v>
      </c>
      <c r="B86" s="197" t="s">
        <v>572</v>
      </c>
      <c r="C86" s="198" t="s">
        <v>136</v>
      </c>
      <c r="D86" s="199">
        <v>14487</v>
      </c>
      <c r="E86" s="199">
        <v>-6344</v>
      </c>
      <c r="F86" s="199">
        <v>20831</v>
      </c>
      <c r="G86" s="200" t="s">
        <v>641</v>
      </c>
    </row>
    <row r="87" spans="1:7" ht="15" customHeight="1" x14ac:dyDescent="0.3">
      <c r="A87" s="193">
        <v>5</v>
      </c>
      <c r="B87" s="193" t="s">
        <v>573</v>
      </c>
      <c r="C87" s="194" t="s">
        <v>137</v>
      </c>
      <c r="D87" s="195">
        <v>10450</v>
      </c>
      <c r="E87" s="195">
        <v>-5112</v>
      </c>
      <c r="F87" s="195">
        <v>15562</v>
      </c>
      <c r="G87" s="196" t="s">
        <v>641</v>
      </c>
    </row>
    <row r="88" spans="1:7" ht="15" customHeight="1" x14ac:dyDescent="0.3">
      <c r="A88" s="197">
        <v>6</v>
      </c>
      <c r="B88" s="197" t="s">
        <v>574</v>
      </c>
      <c r="C88" s="198" t="s">
        <v>136</v>
      </c>
      <c r="D88" s="199">
        <v>1115</v>
      </c>
      <c r="E88" s="199">
        <v>-10087</v>
      </c>
      <c r="F88" s="199">
        <v>11202</v>
      </c>
      <c r="G88" s="200" t="s">
        <v>641</v>
      </c>
    </row>
    <row r="89" spans="1:7" ht="15" customHeight="1" x14ac:dyDescent="0.3">
      <c r="A89" s="193">
        <v>7</v>
      </c>
      <c r="B89" s="193" t="s">
        <v>575</v>
      </c>
      <c r="C89" s="194" t="s">
        <v>137</v>
      </c>
      <c r="D89" s="195">
        <v>9975</v>
      </c>
      <c r="E89" s="195">
        <v>23586</v>
      </c>
      <c r="F89" s="195">
        <v>-13611</v>
      </c>
      <c r="G89" s="196" t="s">
        <v>642</v>
      </c>
    </row>
    <row r="90" spans="1:7" ht="15" customHeight="1" x14ac:dyDescent="0.3">
      <c r="A90" s="197">
        <v>8</v>
      </c>
      <c r="B90" s="197" t="s">
        <v>576</v>
      </c>
      <c r="C90" s="198" t="s">
        <v>137</v>
      </c>
      <c r="D90" s="199">
        <v>-6840</v>
      </c>
      <c r="E90" s="199">
        <v>19</v>
      </c>
      <c r="F90" s="199">
        <v>-6859</v>
      </c>
      <c r="G90" s="200" t="s">
        <v>642</v>
      </c>
    </row>
    <row r="91" spans="1:7" ht="15" customHeight="1" thickBot="1" x14ac:dyDescent="0.35">
      <c r="A91" s="193">
        <v>9</v>
      </c>
      <c r="B91" s="193" t="s">
        <v>577</v>
      </c>
      <c r="C91" s="194" t="s">
        <v>137</v>
      </c>
      <c r="D91" s="195">
        <v>472</v>
      </c>
      <c r="E91" s="195">
        <v>-13326</v>
      </c>
      <c r="F91" s="195">
        <v>13798</v>
      </c>
      <c r="G91" s="196" t="s">
        <v>641</v>
      </c>
    </row>
    <row r="92" spans="1:7" ht="15.75" customHeight="1" thickBot="1" x14ac:dyDescent="0.35">
      <c r="A92" s="201"/>
      <c r="B92" s="201"/>
      <c r="C92" s="201" t="s">
        <v>643</v>
      </c>
      <c r="D92" s="202">
        <v>61699</v>
      </c>
      <c r="E92" s="202">
        <v>-10192</v>
      </c>
      <c r="F92" s="202">
        <v>71891</v>
      </c>
      <c r="G92" s="201"/>
    </row>
    <row r="93" spans="1:7" ht="6.75" customHeight="1" x14ac:dyDescent="0.3">
      <c r="A93" s="174"/>
      <c r="B93" s="174"/>
      <c r="C93" s="174"/>
      <c r="D93" s="174"/>
      <c r="E93" s="174"/>
      <c r="F93" s="174"/>
      <c r="G93" s="174"/>
    </row>
    <row r="94" spans="1:7" ht="19.5" customHeight="1" x14ac:dyDescent="0.3">
      <c r="A94" s="723" t="s">
        <v>644</v>
      </c>
      <c r="B94" s="723"/>
      <c r="C94" s="723"/>
      <c r="D94" s="723"/>
      <c r="E94" s="723"/>
      <c r="F94" s="723"/>
      <c r="G94" s="723"/>
    </row>
    <row r="95" spans="1:7" ht="21.75" customHeight="1" x14ac:dyDescent="0.3">
      <c r="A95" s="203" t="s">
        <v>134</v>
      </c>
      <c r="B95" s="203" t="s">
        <v>645</v>
      </c>
      <c r="C95" s="203" t="s">
        <v>646</v>
      </c>
      <c r="D95" s="203" t="s">
        <v>647</v>
      </c>
      <c r="E95" s="203" t="s">
        <v>648</v>
      </c>
      <c r="F95" s="203"/>
      <c r="G95" s="203"/>
    </row>
    <row r="96" spans="1:7" ht="15" customHeight="1" x14ac:dyDescent="0.3">
      <c r="A96" s="204" t="s">
        <v>141</v>
      </c>
      <c r="B96" s="205">
        <v>0</v>
      </c>
      <c r="C96" s="206">
        <v>0</v>
      </c>
      <c r="D96" s="207">
        <v>6</v>
      </c>
      <c r="E96" s="208">
        <v>46121</v>
      </c>
      <c r="F96" s="209"/>
      <c r="G96" s="209"/>
    </row>
    <row r="97" spans="1:7" ht="15" customHeight="1" x14ac:dyDescent="0.3">
      <c r="A97" s="210" t="s">
        <v>140</v>
      </c>
      <c r="B97" s="207">
        <v>7</v>
      </c>
      <c r="C97" s="208">
        <v>22405</v>
      </c>
      <c r="D97" s="207">
        <v>8</v>
      </c>
      <c r="E97" s="208">
        <v>58559</v>
      </c>
      <c r="F97" s="211"/>
      <c r="G97" s="211"/>
    </row>
    <row r="98" spans="1:7" ht="15" customHeight="1" x14ac:dyDescent="0.3">
      <c r="A98" s="204" t="s">
        <v>136</v>
      </c>
      <c r="B98" s="207">
        <v>4</v>
      </c>
      <c r="C98" s="208">
        <v>20495</v>
      </c>
      <c r="D98" s="207">
        <v>5</v>
      </c>
      <c r="E98" s="208">
        <v>-9244</v>
      </c>
      <c r="F98" s="209"/>
      <c r="G98" s="209"/>
    </row>
    <row r="99" spans="1:7" ht="15" customHeight="1" x14ac:dyDescent="0.3">
      <c r="A99" s="210" t="s">
        <v>138</v>
      </c>
      <c r="B99" s="207">
        <v>3</v>
      </c>
      <c r="C99" s="208">
        <v>6237</v>
      </c>
      <c r="D99" s="207">
        <v>6</v>
      </c>
      <c r="E99" s="208">
        <v>55449</v>
      </c>
      <c r="F99" s="211"/>
      <c r="G99" s="211"/>
    </row>
    <row r="100" spans="1:7" ht="15" customHeight="1" x14ac:dyDescent="0.3">
      <c r="A100" s="204" t="s">
        <v>139</v>
      </c>
      <c r="B100" s="207">
        <v>8</v>
      </c>
      <c r="C100" s="208">
        <v>35582</v>
      </c>
      <c r="D100" s="205">
        <v>0</v>
      </c>
      <c r="E100" s="206">
        <v>0</v>
      </c>
      <c r="F100" s="209"/>
      <c r="G100" s="209"/>
    </row>
    <row r="101" spans="1:7" ht="15" customHeight="1" thickBot="1" x14ac:dyDescent="0.35">
      <c r="A101" s="210" t="s">
        <v>137</v>
      </c>
      <c r="B101" s="207">
        <v>9</v>
      </c>
      <c r="C101" s="208">
        <v>38198</v>
      </c>
      <c r="D101" s="207">
        <v>6</v>
      </c>
      <c r="E101" s="208">
        <v>69221</v>
      </c>
      <c r="F101" s="211"/>
      <c r="G101" s="211"/>
    </row>
    <row r="102" spans="1:7" ht="15.75" customHeight="1" thickBot="1" x14ac:dyDescent="0.35">
      <c r="A102" s="212" t="s">
        <v>507</v>
      </c>
      <c r="B102" s="213">
        <v>31</v>
      </c>
      <c r="C102" s="214">
        <v>122917</v>
      </c>
      <c r="D102" s="213">
        <v>31</v>
      </c>
      <c r="E102" s="214">
        <v>220106</v>
      </c>
      <c r="F102" s="213"/>
      <c r="G102" s="213"/>
    </row>
    <row r="103" spans="1:7" ht="6.75" customHeight="1" x14ac:dyDescent="0.3">
      <c r="A103" s="174"/>
      <c r="B103" s="174"/>
      <c r="C103" s="174"/>
      <c r="D103" s="174"/>
      <c r="E103" s="174"/>
      <c r="F103" s="174"/>
      <c r="G103" s="174"/>
    </row>
    <row r="104" spans="1:7" ht="19.5" customHeight="1" x14ac:dyDescent="0.3">
      <c r="A104" s="724" t="s">
        <v>649</v>
      </c>
      <c r="B104" s="724"/>
      <c r="C104" s="724"/>
      <c r="D104" s="724"/>
      <c r="E104" s="724"/>
      <c r="F104" s="724"/>
      <c r="G104" s="724"/>
    </row>
    <row r="105" spans="1:7" ht="18" customHeight="1" x14ac:dyDescent="0.3">
      <c r="A105" s="215" t="s">
        <v>479</v>
      </c>
      <c r="B105" s="215" t="s">
        <v>90</v>
      </c>
      <c r="C105" s="215" t="s">
        <v>134</v>
      </c>
      <c r="D105" s="215" t="s">
        <v>629</v>
      </c>
      <c r="E105" s="215" t="s">
        <v>650</v>
      </c>
      <c r="F105" s="215"/>
      <c r="G105" s="215"/>
    </row>
    <row r="106" spans="1:7" ht="6.75" customHeight="1" x14ac:dyDescent="0.3">
      <c r="A106" s="174"/>
      <c r="B106" s="174"/>
      <c r="C106" s="174"/>
      <c r="D106" s="174"/>
      <c r="E106" s="174"/>
      <c r="F106" s="174"/>
      <c r="G106" s="174"/>
    </row>
  </sheetData>
  <mergeCells count="9">
    <mergeCell ref="A81:G81"/>
    <mergeCell ref="A94:G94"/>
    <mergeCell ref="A104:G104"/>
    <mergeCell ref="A1:G1"/>
    <mergeCell ref="A2:G2"/>
    <mergeCell ref="A4:G4"/>
    <mergeCell ref="A8:G8"/>
    <mergeCell ref="A11:G11"/>
    <mergeCell ref="A46:G46"/>
  </mergeCells>
  <pageMargins left="0.75" right="0.75" top="1" bottom="1" header="0.511811023622047" footer="0.511811023622047"/>
  <pageSetup paperSize="9" orientation="portrait" horizontalDpi="300" verticalDpi="30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79998168889431442"/>
  </sheetPr>
  <dimension ref="A1:D41"/>
  <sheetViews>
    <sheetView workbookViewId="0">
      <selection activeCell="A5" sqref="A5"/>
    </sheetView>
  </sheetViews>
  <sheetFormatPr defaultRowHeight="14.4" x14ac:dyDescent="0.3"/>
  <cols>
    <col min="1" max="4" width="17.109375" customWidth="1"/>
  </cols>
  <sheetData>
    <row r="1" spans="1:4" x14ac:dyDescent="0.3">
      <c r="A1" t="s">
        <v>90</v>
      </c>
      <c r="B1" t="s">
        <v>142</v>
      </c>
      <c r="C1" t="s">
        <v>134</v>
      </c>
      <c r="D1" t="s">
        <v>135</v>
      </c>
    </row>
    <row r="2" spans="1:4" x14ac:dyDescent="0.3">
      <c r="A2" s="1">
        <v>46023</v>
      </c>
      <c r="B2" t="s">
        <v>143</v>
      </c>
      <c r="C2" t="s">
        <v>144</v>
      </c>
      <c r="D2">
        <v>4882</v>
      </c>
    </row>
    <row r="3" spans="1:4" x14ac:dyDescent="0.3">
      <c r="A3" s="1">
        <v>46024</v>
      </c>
      <c r="B3" t="s">
        <v>143</v>
      </c>
      <c r="C3" t="s">
        <v>145</v>
      </c>
      <c r="D3">
        <v>9758</v>
      </c>
    </row>
    <row r="4" spans="1:4" x14ac:dyDescent="0.3">
      <c r="A4" s="1">
        <v>46025</v>
      </c>
      <c r="B4" t="s">
        <v>146</v>
      </c>
      <c r="C4" t="s">
        <v>147</v>
      </c>
      <c r="D4">
        <v>2417</v>
      </c>
    </row>
    <row r="5" spans="1:4" x14ac:dyDescent="0.3">
      <c r="A5" s="1">
        <v>46026</v>
      </c>
      <c r="B5" t="s">
        <v>124</v>
      </c>
      <c r="C5" t="s">
        <v>148</v>
      </c>
      <c r="D5">
        <v>6640</v>
      </c>
    </row>
    <row r="6" spans="1:4" x14ac:dyDescent="0.3">
      <c r="A6" s="1">
        <v>46027</v>
      </c>
      <c r="B6" t="s">
        <v>124</v>
      </c>
      <c r="C6" t="s">
        <v>149</v>
      </c>
      <c r="D6">
        <v>5900</v>
      </c>
    </row>
    <row r="7" spans="1:4" x14ac:dyDescent="0.3">
      <c r="A7" s="1">
        <v>46028</v>
      </c>
      <c r="B7" t="s">
        <v>124</v>
      </c>
      <c r="C7" t="s">
        <v>150</v>
      </c>
      <c r="D7">
        <v>1818</v>
      </c>
    </row>
    <row r="8" spans="1:4" x14ac:dyDescent="0.3">
      <c r="A8" s="1">
        <v>46029</v>
      </c>
      <c r="B8" t="s">
        <v>124</v>
      </c>
      <c r="C8" t="s">
        <v>151</v>
      </c>
      <c r="D8">
        <v>6877</v>
      </c>
    </row>
    <row r="9" spans="1:4" x14ac:dyDescent="0.3">
      <c r="A9" s="1">
        <v>46030</v>
      </c>
      <c r="B9" t="s">
        <v>143</v>
      </c>
      <c r="C9" t="s">
        <v>152</v>
      </c>
      <c r="D9">
        <v>1313</v>
      </c>
    </row>
    <row r="10" spans="1:4" x14ac:dyDescent="0.3">
      <c r="A10" s="1">
        <v>46031</v>
      </c>
      <c r="B10" t="s">
        <v>143</v>
      </c>
      <c r="C10" t="s">
        <v>153</v>
      </c>
      <c r="D10">
        <v>2293</v>
      </c>
    </row>
    <row r="11" spans="1:4" x14ac:dyDescent="0.3">
      <c r="A11" s="1">
        <v>46032</v>
      </c>
      <c r="B11" t="s">
        <v>154</v>
      </c>
      <c r="C11" t="s">
        <v>155</v>
      </c>
      <c r="D11">
        <v>4390</v>
      </c>
    </row>
    <row r="12" spans="1:4" x14ac:dyDescent="0.3">
      <c r="A12" s="1">
        <v>46033</v>
      </c>
      <c r="B12" t="s">
        <v>124</v>
      </c>
      <c r="C12" t="s">
        <v>156</v>
      </c>
      <c r="D12">
        <v>4148</v>
      </c>
    </row>
    <row r="13" spans="1:4" x14ac:dyDescent="0.3">
      <c r="A13" s="1">
        <v>46034</v>
      </c>
      <c r="B13" t="s">
        <v>146</v>
      </c>
      <c r="C13" t="s">
        <v>157</v>
      </c>
      <c r="D13">
        <v>9112</v>
      </c>
    </row>
    <row r="14" spans="1:4" x14ac:dyDescent="0.3">
      <c r="A14" s="1">
        <v>46035</v>
      </c>
      <c r="B14" t="s">
        <v>143</v>
      </c>
      <c r="C14" t="s">
        <v>158</v>
      </c>
      <c r="D14">
        <v>1674</v>
      </c>
    </row>
    <row r="15" spans="1:4" x14ac:dyDescent="0.3">
      <c r="A15" s="1">
        <v>46036</v>
      </c>
      <c r="B15" t="s">
        <v>143</v>
      </c>
      <c r="C15" t="s">
        <v>159</v>
      </c>
      <c r="D15">
        <v>6340</v>
      </c>
    </row>
    <row r="16" spans="1:4" x14ac:dyDescent="0.3">
      <c r="A16" s="1">
        <v>46037</v>
      </c>
      <c r="B16" t="s">
        <v>154</v>
      </c>
      <c r="C16" t="s">
        <v>160</v>
      </c>
      <c r="D16">
        <v>7259</v>
      </c>
    </row>
    <row r="17" spans="1:4" x14ac:dyDescent="0.3">
      <c r="A17" s="1">
        <v>46038</v>
      </c>
      <c r="B17" t="s">
        <v>143</v>
      </c>
      <c r="C17" t="s">
        <v>161</v>
      </c>
      <c r="D17">
        <v>6166</v>
      </c>
    </row>
    <row r="18" spans="1:4" x14ac:dyDescent="0.3">
      <c r="A18" s="1">
        <v>46039</v>
      </c>
      <c r="B18" t="s">
        <v>162</v>
      </c>
      <c r="C18" t="s">
        <v>163</v>
      </c>
      <c r="D18">
        <v>524</v>
      </c>
    </row>
    <row r="19" spans="1:4" x14ac:dyDescent="0.3">
      <c r="A19" s="1">
        <v>46040</v>
      </c>
      <c r="B19" t="s">
        <v>162</v>
      </c>
      <c r="C19" t="s">
        <v>164</v>
      </c>
      <c r="D19">
        <v>6108</v>
      </c>
    </row>
    <row r="20" spans="1:4" x14ac:dyDescent="0.3">
      <c r="A20" s="1">
        <v>46041</v>
      </c>
      <c r="B20" t="s">
        <v>143</v>
      </c>
      <c r="C20" t="s">
        <v>165</v>
      </c>
      <c r="D20">
        <v>8747</v>
      </c>
    </row>
    <row r="21" spans="1:4" x14ac:dyDescent="0.3">
      <c r="A21" s="1">
        <v>46042</v>
      </c>
      <c r="B21" t="s">
        <v>143</v>
      </c>
      <c r="C21" t="s">
        <v>166</v>
      </c>
      <c r="D21">
        <v>5366</v>
      </c>
    </row>
    <row r="22" spans="1:4" x14ac:dyDescent="0.3">
      <c r="A22" s="1">
        <v>46043</v>
      </c>
      <c r="B22" t="s">
        <v>146</v>
      </c>
      <c r="C22" t="s">
        <v>167</v>
      </c>
      <c r="D22">
        <v>721</v>
      </c>
    </row>
    <row r="23" spans="1:4" x14ac:dyDescent="0.3">
      <c r="A23" s="1">
        <v>46044</v>
      </c>
      <c r="B23" t="s">
        <v>154</v>
      </c>
      <c r="C23" t="s">
        <v>168</v>
      </c>
      <c r="D23">
        <v>509</v>
      </c>
    </row>
    <row r="24" spans="1:4" x14ac:dyDescent="0.3">
      <c r="A24" s="1">
        <v>46045</v>
      </c>
      <c r="B24" t="s">
        <v>162</v>
      </c>
      <c r="C24" t="s">
        <v>169</v>
      </c>
      <c r="D24">
        <v>9847</v>
      </c>
    </row>
    <row r="25" spans="1:4" x14ac:dyDescent="0.3">
      <c r="A25" s="1">
        <v>46046</v>
      </c>
      <c r="B25" t="s">
        <v>124</v>
      </c>
      <c r="C25" t="s">
        <v>170</v>
      </c>
      <c r="D25">
        <v>2638</v>
      </c>
    </row>
    <row r="26" spans="1:4" x14ac:dyDescent="0.3">
      <c r="A26" s="1">
        <v>46047</v>
      </c>
      <c r="B26" t="s">
        <v>146</v>
      </c>
      <c r="C26" t="s">
        <v>171</v>
      </c>
      <c r="D26">
        <v>1216</v>
      </c>
    </row>
    <row r="27" spans="1:4" x14ac:dyDescent="0.3">
      <c r="A27" s="1">
        <v>46048</v>
      </c>
      <c r="B27" t="s">
        <v>162</v>
      </c>
      <c r="C27" t="s">
        <v>172</v>
      </c>
      <c r="D27">
        <v>8292</v>
      </c>
    </row>
    <row r="28" spans="1:4" x14ac:dyDescent="0.3">
      <c r="A28" s="1">
        <v>46049</v>
      </c>
      <c r="B28" t="s">
        <v>154</v>
      </c>
      <c r="C28" t="s">
        <v>173</v>
      </c>
      <c r="D28">
        <v>9059</v>
      </c>
    </row>
    <row r="29" spans="1:4" x14ac:dyDescent="0.3">
      <c r="A29" s="1">
        <v>46050</v>
      </c>
      <c r="B29" t="s">
        <v>154</v>
      </c>
      <c r="C29" t="s">
        <v>174</v>
      </c>
      <c r="D29">
        <v>4069</v>
      </c>
    </row>
    <row r="30" spans="1:4" x14ac:dyDescent="0.3">
      <c r="A30" s="1">
        <v>46051</v>
      </c>
      <c r="B30" t="s">
        <v>124</v>
      </c>
      <c r="C30" t="s">
        <v>175</v>
      </c>
      <c r="D30">
        <v>6471</v>
      </c>
    </row>
    <row r="31" spans="1:4" x14ac:dyDescent="0.3">
      <c r="A31" s="1">
        <v>46052</v>
      </c>
      <c r="B31" t="s">
        <v>146</v>
      </c>
      <c r="C31" t="s">
        <v>176</v>
      </c>
      <c r="D31">
        <v>9288</v>
      </c>
    </row>
    <row r="32" spans="1:4" x14ac:dyDescent="0.3">
      <c r="A32" s="1">
        <v>46053</v>
      </c>
      <c r="B32" t="s">
        <v>162</v>
      </c>
      <c r="C32" t="s">
        <v>177</v>
      </c>
      <c r="D32">
        <v>2384</v>
      </c>
    </row>
    <row r="33" spans="1:4" x14ac:dyDescent="0.3">
      <c r="A33" s="1">
        <v>46054</v>
      </c>
      <c r="B33" t="s">
        <v>154</v>
      </c>
      <c r="C33" t="s">
        <v>178</v>
      </c>
      <c r="D33">
        <v>1852</v>
      </c>
    </row>
    <row r="34" spans="1:4" x14ac:dyDescent="0.3">
      <c r="A34" s="1">
        <v>46055</v>
      </c>
      <c r="B34" t="s">
        <v>124</v>
      </c>
      <c r="C34" t="s">
        <v>179</v>
      </c>
      <c r="D34">
        <v>9558</v>
      </c>
    </row>
    <row r="35" spans="1:4" x14ac:dyDescent="0.3">
      <c r="A35" s="1">
        <v>46056</v>
      </c>
      <c r="B35" t="s">
        <v>124</v>
      </c>
      <c r="C35" t="s">
        <v>180</v>
      </c>
      <c r="D35">
        <v>1180</v>
      </c>
    </row>
    <row r="36" spans="1:4" x14ac:dyDescent="0.3">
      <c r="A36" s="1">
        <v>46057</v>
      </c>
      <c r="B36" t="s">
        <v>143</v>
      </c>
      <c r="C36" t="s">
        <v>181</v>
      </c>
      <c r="D36">
        <v>9605</v>
      </c>
    </row>
    <row r="37" spans="1:4" x14ac:dyDescent="0.3">
      <c r="A37" s="1">
        <v>46058</v>
      </c>
      <c r="B37" t="s">
        <v>143</v>
      </c>
      <c r="C37" t="s">
        <v>182</v>
      </c>
      <c r="D37">
        <v>6086</v>
      </c>
    </row>
    <row r="38" spans="1:4" x14ac:dyDescent="0.3">
      <c r="A38" s="1">
        <v>46059</v>
      </c>
      <c r="B38" t="s">
        <v>143</v>
      </c>
      <c r="C38" t="s">
        <v>183</v>
      </c>
      <c r="D38">
        <v>5563</v>
      </c>
    </row>
    <row r="39" spans="1:4" x14ac:dyDescent="0.3">
      <c r="A39" s="1">
        <v>46060</v>
      </c>
      <c r="B39" t="s">
        <v>124</v>
      </c>
      <c r="C39" t="s">
        <v>184</v>
      </c>
      <c r="D39">
        <v>1816</v>
      </c>
    </row>
    <row r="40" spans="1:4" x14ac:dyDescent="0.3">
      <c r="A40" s="1">
        <v>46061</v>
      </c>
      <c r="B40" t="s">
        <v>143</v>
      </c>
      <c r="C40" t="s">
        <v>185</v>
      </c>
      <c r="D40">
        <v>6893</v>
      </c>
    </row>
    <row r="41" spans="1:4" x14ac:dyDescent="0.3">
      <c r="A41" s="1">
        <v>46062</v>
      </c>
      <c r="B41" t="s">
        <v>162</v>
      </c>
      <c r="C41" t="s">
        <v>186</v>
      </c>
      <c r="D41">
        <v>2477</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954DA-ADF6-4BD6-B6DE-EE746DA9B7DC}">
  <sheetPr>
    <tabColor theme="5" tint="0.79998168889431442"/>
  </sheetPr>
  <dimension ref="A1:K36"/>
  <sheetViews>
    <sheetView zoomScaleNormal="100" workbookViewId="0">
      <pane ySplit="3" topLeftCell="A4" activePane="bottomLeft" state="frozen"/>
      <selection activeCell="A5" sqref="A5"/>
      <selection pane="bottomLeft" activeCell="A4" sqref="A4:H4"/>
    </sheetView>
  </sheetViews>
  <sheetFormatPr defaultColWidth="8.6640625" defaultRowHeight="14.4" x14ac:dyDescent="0.3"/>
  <cols>
    <col min="1" max="1" width="16" style="151" customWidth="1"/>
    <col min="2" max="2" width="14" style="151" customWidth="1"/>
    <col min="3" max="3" width="16" style="151" customWidth="1"/>
    <col min="4" max="4" width="14" style="151" customWidth="1"/>
    <col min="5" max="6" width="13" style="151" customWidth="1"/>
    <col min="7" max="7" width="12" style="151" customWidth="1"/>
    <col min="8" max="8" width="10" style="151" customWidth="1"/>
    <col min="9" max="9" width="8.6640625" style="151"/>
    <col min="10" max="10" width="9.21875" style="151" bestFit="1" customWidth="1"/>
    <col min="11" max="16384" width="8.6640625" style="151"/>
  </cols>
  <sheetData>
    <row r="1" spans="1:11" ht="17.399999999999999" x14ac:dyDescent="0.3">
      <c r="A1" s="725" t="s">
        <v>651</v>
      </c>
      <c r="B1" s="725"/>
      <c r="C1" s="725"/>
      <c r="D1" s="725"/>
      <c r="E1" s="725"/>
      <c r="F1" s="725"/>
      <c r="G1" s="725"/>
      <c r="H1" s="725"/>
    </row>
    <row r="2" spans="1:11" x14ac:dyDescent="0.3">
      <c r="A2" s="726" t="s">
        <v>652</v>
      </c>
      <c r="B2" s="726"/>
      <c r="C2" s="726"/>
      <c r="D2" s="726"/>
      <c r="E2" s="726"/>
      <c r="F2" s="726"/>
      <c r="G2" s="726"/>
      <c r="H2" s="726"/>
    </row>
    <row r="3" spans="1:11" x14ac:dyDescent="0.3">
      <c r="A3" s="167"/>
      <c r="B3" s="167"/>
      <c r="C3" s="167"/>
      <c r="D3" s="167"/>
      <c r="E3" s="167"/>
      <c r="F3" s="167"/>
      <c r="G3" s="167"/>
      <c r="H3" s="167"/>
      <c r="J3" s="611" t="s">
        <v>142</v>
      </c>
      <c r="K3" s="611" t="s">
        <v>653</v>
      </c>
    </row>
    <row r="4" spans="1:11" x14ac:dyDescent="0.3">
      <c r="A4" s="729" t="s">
        <v>654</v>
      </c>
      <c r="B4" s="729"/>
      <c r="C4" s="729"/>
      <c r="D4" s="729"/>
      <c r="E4" s="729"/>
      <c r="F4" s="729"/>
      <c r="G4" s="729"/>
      <c r="H4" s="729"/>
      <c r="J4" s="611" t="s">
        <v>143</v>
      </c>
      <c r="K4" s="611">
        <v>74686</v>
      </c>
    </row>
    <row r="5" spans="1:11" ht="31.2" thickBot="1" x14ac:dyDescent="0.35">
      <c r="A5" s="216" t="s">
        <v>655</v>
      </c>
      <c r="B5" s="216" t="s">
        <v>656</v>
      </c>
      <c r="C5" s="216" t="s">
        <v>657</v>
      </c>
      <c r="D5" s="216" t="s">
        <v>658</v>
      </c>
      <c r="E5" s="216" t="s">
        <v>659</v>
      </c>
      <c r="F5" s="216" t="s">
        <v>660</v>
      </c>
      <c r="G5" s="216" t="s">
        <v>661</v>
      </c>
      <c r="H5" s="216" t="s">
        <v>662</v>
      </c>
      <c r="J5" s="611" t="s">
        <v>124</v>
      </c>
      <c r="K5" s="611">
        <v>47046</v>
      </c>
    </row>
    <row r="6" spans="1:11" ht="16.2" thickBot="1" x14ac:dyDescent="0.35">
      <c r="A6" s="217">
        <v>201256</v>
      </c>
      <c r="B6" s="218">
        <v>40</v>
      </c>
      <c r="C6" s="219">
        <v>5</v>
      </c>
      <c r="D6" s="220">
        <v>74686</v>
      </c>
      <c r="E6" s="221">
        <v>22754</v>
      </c>
      <c r="F6" s="222">
        <v>5031</v>
      </c>
      <c r="G6" s="223">
        <v>9847</v>
      </c>
      <c r="H6" s="224">
        <v>40</v>
      </c>
      <c r="J6" s="611" t="s">
        <v>162</v>
      </c>
      <c r="K6" s="611">
        <v>29632</v>
      </c>
    </row>
    <row r="7" spans="1:11" x14ac:dyDescent="0.3">
      <c r="A7" s="174"/>
      <c r="B7" s="174"/>
      <c r="C7" s="174"/>
      <c r="D7" s="174"/>
      <c r="E7" s="174"/>
      <c r="F7" s="174"/>
      <c r="G7" s="174"/>
      <c r="H7" s="174"/>
      <c r="J7" s="611" t="s">
        <v>154</v>
      </c>
      <c r="K7" s="611">
        <v>27138</v>
      </c>
    </row>
    <row r="8" spans="1:11" x14ac:dyDescent="0.3">
      <c r="A8" s="730" t="s">
        <v>663</v>
      </c>
      <c r="B8" s="730"/>
      <c r="C8" s="730"/>
      <c r="D8" s="730"/>
      <c r="E8" s="730"/>
      <c r="F8" s="730"/>
      <c r="G8" s="730"/>
      <c r="H8" s="730"/>
      <c r="J8" s="611" t="s">
        <v>146</v>
      </c>
      <c r="K8" s="611">
        <v>22754</v>
      </c>
    </row>
    <row r="9" spans="1:11" ht="26.4" x14ac:dyDescent="0.3">
      <c r="A9" s="225" t="s">
        <v>142</v>
      </c>
      <c r="B9" s="225" t="s">
        <v>664</v>
      </c>
      <c r="C9" s="225" t="s">
        <v>665</v>
      </c>
      <c r="D9" s="225" t="s">
        <v>666</v>
      </c>
      <c r="E9" s="225" t="s">
        <v>667</v>
      </c>
      <c r="F9" s="225" t="s">
        <v>668</v>
      </c>
      <c r="G9" s="225" t="s">
        <v>669</v>
      </c>
      <c r="H9" s="225" t="s">
        <v>670</v>
      </c>
    </row>
    <row r="10" spans="1:11" x14ac:dyDescent="0.3">
      <c r="A10" s="226" t="s">
        <v>143</v>
      </c>
      <c r="B10" s="227">
        <v>13</v>
      </c>
      <c r="C10" s="228">
        <v>74686</v>
      </c>
      <c r="D10" s="229">
        <v>5745</v>
      </c>
      <c r="E10" s="229">
        <v>1313</v>
      </c>
      <c r="F10" s="229">
        <v>9758</v>
      </c>
      <c r="G10" s="230">
        <v>0.37109999999999999</v>
      </c>
      <c r="H10" s="227">
        <v>1</v>
      </c>
    </row>
    <row r="11" spans="1:11" x14ac:dyDescent="0.3">
      <c r="A11" s="231" t="s">
        <v>124</v>
      </c>
      <c r="B11" s="232">
        <v>10</v>
      </c>
      <c r="C11" s="233">
        <v>47046</v>
      </c>
      <c r="D11" s="234">
        <v>4704</v>
      </c>
      <c r="E11" s="234">
        <v>1180</v>
      </c>
      <c r="F11" s="234">
        <v>9558</v>
      </c>
      <c r="G11" s="235">
        <v>0.23380000000000001</v>
      </c>
      <c r="H11" s="232">
        <v>2</v>
      </c>
    </row>
    <row r="12" spans="1:11" x14ac:dyDescent="0.3">
      <c r="A12" s="236" t="s">
        <v>162</v>
      </c>
      <c r="B12" s="237">
        <v>6</v>
      </c>
      <c r="C12" s="238">
        <v>29632</v>
      </c>
      <c r="D12" s="239">
        <v>4938</v>
      </c>
      <c r="E12" s="239">
        <v>524</v>
      </c>
      <c r="F12" s="239">
        <v>9847</v>
      </c>
      <c r="G12" s="240">
        <v>0.1472</v>
      </c>
      <c r="H12" s="237">
        <v>3</v>
      </c>
    </row>
    <row r="13" spans="1:11" x14ac:dyDescent="0.3">
      <c r="A13" s="241" t="s">
        <v>154</v>
      </c>
      <c r="B13" s="242">
        <v>6</v>
      </c>
      <c r="C13" s="243">
        <v>27138</v>
      </c>
      <c r="D13" s="244">
        <v>4523</v>
      </c>
      <c r="E13" s="244">
        <v>509</v>
      </c>
      <c r="F13" s="244">
        <v>9059</v>
      </c>
      <c r="G13" s="240">
        <v>0.1348</v>
      </c>
      <c r="H13" s="242">
        <v>4</v>
      </c>
    </row>
    <row r="14" spans="1:11" ht="15" thickBot="1" x14ac:dyDescent="0.35">
      <c r="A14" s="245" t="s">
        <v>146</v>
      </c>
      <c r="B14" s="246">
        <v>5</v>
      </c>
      <c r="C14" s="247">
        <v>22754</v>
      </c>
      <c r="D14" s="248">
        <v>4550</v>
      </c>
      <c r="E14" s="248">
        <v>721</v>
      </c>
      <c r="F14" s="248">
        <v>9288</v>
      </c>
      <c r="G14" s="240">
        <v>0.11310000000000001</v>
      </c>
      <c r="H14" s="246">
        <v>5</v>
      </c>
    </row>
    <row r="15" spans="1:11" ht="15" thickBot="1" x14ac:dyDescent="0.35">
      <c r="A15" s="249" t="s">
        <v>507</v>
      </c>
      <c r="B15" s="250">
        <v>40</v>
      </c>
      <c r="C15" s="251">
        <v>201256</v>
      </c>
      <c r="D15" s="252"/>
      <c r="E15" s="252"/>
      <c r="F15" s="252"/>
      <c r="G15" s="253">
        <v>1</v>
      </c>
      <c r="H15" s="252"/>
    </row>
    <row r="16" spans="1:11" x14ac:dyDescent="0.3">
      <c r="A16" s="174"/>
      <c r="B16" s="174"/>
      <c r="C16" s="174"/>
      <c r="D16" s="174"/>
      <c r="E16" s="174"/>
      <c r="F16" s="174"/>
      <c r="G16" s="174"/>
      <c r="H16" s="174"/>
    </row>
    <row r="17" spans="1:8" x14ac:dyDescent="0.3">
      <c r="A17" s="729" t="s">
        <v>671</v>
      </c>
      <c r="B17" s="729"/>
      <c r="C17" s="729"/>
      <c r="D17" s="729"/>
      <c r="E17" s="729"/>
      <c r="F17" s="729"/>
      <c r="G17" s="729"/>
      <c r="H17" s="729"/>
    </row>
    <row r="18" spans="1:8" x14ac:dyDescent="0.3">
      <c r="A18" s="254" t="s">
        <v>142</v>
      </c>
      <c r="B18" s="254" t="s">
        <v>672</v>
      </c>
      <c r="C18" s="254" t="s">
        <v>673</v>
      </c>
      <c r="D18" s="254" t="s">
        <v>674</v>
      </c>
      <c r="E18" s="254"/>
      <c r="F18" s="254"/>
      <c r="G18" s="254"/>
      <c r="H18" s="254"/>
    </row>
    <row r="19" spans="1:8" x14ac:dyDescent="0.3">
      <c r="A19" s="226" t="s">
        <v>143</v>
      </c>
      <c r="B19" s="229">
        <v>46539</v>
      </c>
      <c r="C19" s="229">
        <v>28147</v>
      </c>
      <c r="D19" s="228">
        <v>74686</v>
      </c>
      <c r="E19" s="255"/>
      <c r="F19" s="255"/>
      <c r="G19" s="255"/>
      <c r="H19" s="255"/>
    </row>
    <row r="20" spans="1:8" x14ac:dyDescent="0.3">
      <c r="A20" s="231" t="s">
        <v>124</v>
      </c>
      <c r="B20" s="234">
        <v>34492</v>
      </c>
      <c r="C20" s="234">
        <v>12554</v>
      </c>
      <c r="D20" s="233">
        <v>47046</v>
      </c>
      <c r="E20" s="256"/>
      <c r="F20" s="256"/>
      <c r="G20" s="256"/>
      <c r="H20" s="256"/>
    </row>
    <row r="21" spans="1:8" x14ac:dyDescent="0.3">
      <c r="A21" s="236" t="s">
        <v>162</v>
      </c>
      <c r="B21" s="239">
        <v>27155</v>
      </c>
      <c r="C21" s="239">
        <v>2477</v>
      </c>
      <c r="D21" s="238">
        <v>29632</v>
      </c>
      <c r="E21" s="257"/>
      <c r="F21" s="257"/>
      <c r="G21" s="257"/>
      <c r="H21" s="257"/>
    </row>
    <row r="22" spans="1:8" x14ac:dyDescent="0.3">
      <c r="A22" s="241" t="s">
        <v>154</v>
      </c>
      <c r="B22" s="244">
        <v>25286</v>
      </c>
      <c r="C22" s="244">
        <v>1852</v>
      </c>
      <c r="D22" s="243">
        <v>27138</v>
      </c>
      <c r="E22" s="258"/>
      <c r="F22" s="258"/>
      <c r="G22" s="258"/>
      <c r="H22" s="258"/>
    </row>
    <row r="23" spans="1:8" ht="15" thickBot="1" x14ac:dyDescent="0.35">
      <c r="A23" s="245" t="s">
        <v>146</v>
      </c>
      <c r="B23" s="248">
        <v>22754</v>
      </c>
      <c r="C23" s="259" t="s">
        <v>675</v>
      </c>
      <c r="D23" s="247">
        <v>22754</v>
      </c>
      <c r="E23" s="260"/>
      <c r="F23" s="260"/>
      <c r="G23" s="260"/>
      <c r="H23" s="260"/>
    </row>
    <row r="24" spans="1:8" ht="15" thickBot="1" x14ac:dyDescent="0.35">
      <c r="A24" s="261" t="s">
        <v>676</v>
      </c>
      <c r="B24" s="262">
        <v>156226</v>
      </c>
      <c r="C24" s="262">
        <v>45030</v>
      </c>
      <c r="D24" s="262">
        <v>201256</v>
      </c>
      <c r="E24" s="263"/>
      <c r="F24" s="263"/>
      <c r="G24" s="263"/>
      <c r="H24" s="263"/>
    </row>
    <row r="25" spans="1:8" x14ac:dyDescent="0.3">
      <c r="A25" s="174"/>
      <c r="B25" s="174"/>
      <c r="C25" s="174"/>
      <c r="D25" s="174"/>
      <c r="E25" s="174"/>
      <c r="F25" s="174"/>
      <c r="G25" s="174"/>
      <c r="H25" s="174"/>
    </row>
    <row r="26" spans="1:8" x14ac:dyDescent="0.3">
      <c r="A26" s="727" t="s">
        <v>677</v>
      </c>
      <c r="B26" s="727"/>
      <c r="C26" s="727"/>
      <c r="D26" s="727"/>
      <c r="E26" s="727"/>
      <c r="F26" s="727"/>
      <c r="G26" s="727"/>
      <c r="H26" s="727"/>
    </row>
    <row r="27" spans="1:8" x14ac:dyDescent="0.3">
      <c r="A27" s="179" t="s">
        <v>670</v>
      </c>
      <c r="B27" s="179" t="s">
        <v>90</v>
      </c>
      <c r="C27" s="179" t="s">
        <v>142</v>
      </c>
      <c r="D27" s="179" t="s">
        <v>134</v>
      </c>
      <c r="E27" s="179" t="s">
        <v>629</v>
      </c>
      <c r="F27" s="179" t="s">
        <v>678</v>
      </c>
      <c r="G27" s="179"/>
      <c r="H27" s="179"/>
    </row>
    <row r="28" spans="1:8" x14ac:dyDescent="0.3">
      <c r="A28" s="237">
        <v>1</v>
      </c>
      <c r="B28" s="237" t="s">
        <v>596</v>
      </c>
      <c r="C28" s="264" t="s">
        <v>162</v>
      </c>
      <c r="D28" s="265" t="s">
        <v>169</v>
      </c>
      <c r="E28" s="238">
        <v>9847</v>
      </c>
      <c r="F28" s="266">
        <v>4.8899999999999999E-2</v>
      </c>
      <c r="G28" s="257"/>
      <c r="H28" s="257"/>
    </row>
    <row r="29" spans="1:8" x14ac:dyDescent="0.3">
      <c r="A29" s="227">
        <v>2</v>
      </c>
      <c r="B29" s="227" t="s">
        <v>580</v>
      </c>
      <c r="C29" s="267" t="s">
        <v>143</v>
      </c>
      <c r="D29" s="268" t="s">
        <v>145</v>
      </c>
      <c r="E29" s="228">
        <v>9758</v>
      </c>
      <c r="F29" s="269">
        <v>4.8500000000000001E-2</v>
      </c>
      <c r="G29" s="255"/>
      <c r="H29" s="255"/>
    </row>
    <row r="30" spans="1:8" x14ac:dyDescent="0.3">
      <c r="A30" s="227">
        <v>3</v>
      </c>
      <c r="B30" s="227" t="s">
        <v>605</v>
      </c>
      <c r="C30" s="267" t="s">
        <v>143</v>
      </c>
      <c r="D30" s="268" t="s">
        <v>181</v>
      </c>
      <c r="E30" s="228">
        <v>9605</v>
      </c>
      <c r="F30" s="269">
        <v>4.7699999999999999E-2</v>
      </c>
      <c r="G30" s="255"/>
      <c r="H30" s="255"/>
    </row>
    <row r="31" spans="1:8" x14ac:dyDescent="0.3">
      <c r="A31" s="232">
        <v>4</v>
      </c>
      <c r="B31" s="232" t="s">
        <v>603</v>
      </c>
      <c r="C31" s="270" t="s">
        <v>124</v>
      </c>
      <c r="D31" s="271" t="s">
        <v>179</v>
      </c>
      <c r="E31" s="233">
        <v>9558</v>
      </c>
      <c r="F31" s="272">
        <v>4.7500000000000001E-2</v>
      </c>
      <c r="G31" s="256"/>
      <c r="H31" s="256"/>
    </row>
    <row r="32" spans="1:8" x14ac:dyDescent="0.3">
      <c r="A32" s="246">
        <v>5</v>
      </c>
      <c r="B32" s="246" t="s">
        <v>575</v>
      </c>
      <c r="C32" s="273" t="s">
        <v>146</v>
      </c>
      <c r="D32" s="274" t="s">
        <v>176</v>
      </c>
      <c r="E32" s="247">
        <v>9288</v>
      </c>
      <c r="F32" s="275">
        <v>4.6199999999999998E-2</v>
      </c>
      <c r="G32" s="260"/>
      <c r="H32" s="260"/>
    </row>
    <row r="33" spans="1:8" x14ac:dyDescent="0.3">
      <c r="A33" s="174"/>
      <c r="B33" s="174"/>
      <c r="C33" s="174"/>
      <c r="D33" s="174"/>
      <c r="E33" s="174"/>
      <c r="F33" s="174"/>
      <c r="G33" s="174"/>
      <c r="H33" s="174"/>
    </row>
    <row r="34" spans="1:8" x14ac:dyDescent="0.3">
      <c r="A34" s="728" t="s">
        <v>679</v>
      </c>
      <c r="B34" s="728"/>
      <c r="C34" s="728"/>
      <c r="D34" s="728"/>
      <c r="E34" s="728"/>
      <c r="F34" s="728"/>
      <c r="G34" s="728"/>
      <c r="H34" s="728"/>
    </row>
    <row r="35" spans="1:8" x14ac:dyDescent="0.3">
      <c r="A35" s="276" t="s">
        <v>680</v>
      </c>
      <c r="B35" s="277" t="s">
        <v>681</v>
      </c>
      <c r="C35" s="278" t="s">
        <v>682</v>
      </c>
      <c r="D35" s="279" t="s">
        <v>683</v>
      </c>
      <c r="E35" s="280" t="s">
        <v>684</v>
      </c>
    </row>
    <row r="36" spans="1:8" ht="20.399999999999999" x14ac:dyDescent="0.3">
      <c r="A36" s="281" t="s">
        <v>685</v>
      </c>
      <c r="B36" s="282" t="s">
        <v>686</v>
      </c>
      <c r="C36" s="283" t="s">
        <v>687</v>
      </c>
      <c r="D36" s="284" t="s">
        <v>688</v>
      </c>
      <c r="E36" s="285" t="s">
        <v>689</v>
      </c>
      <c r="F36" s="286" t="s">
        <v>690</v>
      </c>
    </row>
  </sheetData>
  <mergeCells count="7">
    <mergeCell ref="A34:H34"/>
    <mergeCell ref="A1:H1"/>
    <mergeCell ref="A2:H2"/>
    <mergeCell ref="A4:H4"/>
    <mergeCell ref="A8:H8"/>
    <mergeCell ref="A17:H17"/>
    <mergeCell ref="A26:H26"/>
  </mergeCell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FF95-5875-48C1-90E0-E0B1AFD8E73E}">
  <sheetPr>
    <tabColor theme="5" tint="0.79998168889431442"/>
  </sheetPr>
  <dimension ref="A1:N86"/>
  <sheetViews>
    <sheetView zoomScaleNormal="100" workbookViewId="0">
      <pane ySplit="3" topLeftCell="A4" activePane="bottomLeft" state="frozen"/>
      <selection activeCell="A5" sqref="A5"/>
      <selection pane="bottomLeft" activeCell="A4" sqref="A4:I4"/>
    </sheetView>
  </sheetViews>
  <sheetFormatPr defaultColWidth="8.6640625" defaultRowHeight="14.4" x14ac:dyDescent="0.3"/>
  <cols>
    <col min="1" max="1" width="20.109375" style="151" bestFit="1" customWidth="1"/>
    <col min="2" max="2" width="12.33203125" style="151" bestFit="1" customWidth="1"/>
    <col min="3" max="3" width="14.44140625" style="151" bestFit="1" customWidth="1"/>
    <col min="4" max="5" width="14.5546875" style="151" bestFit="1" customWidth="1"/>
    <col min="6" max="6" width="11.77734375" style="151" bestFit="1" customWidth="1"/>
    <col min="7" max="7" width="13.33203125" style="151" bestFit="1" customWidth="1"/>
    <col min="8" max="8" width="16.33203125" style="151" bestFit="1" customWidth="1"/>
    <col min="9" max="9" width="10.109375" style="151" bestFit="1" customWidth="1"/>
    <col min="10" max="10" width="8.6640625" style="151"/>
    <col min="11" max="11" width="9.21875" style="151" bestFit="1" customWidth="1"/>
    <col min="12" max="12" width="8.109375" style="151" bestFit="1" customWidth="1"/>
    <col min="13" max="13" width="8.33203125" style="151" bestFit="1" customWidth="1"/>
    <col min="14" max="14" width="6" style="151" bestFit="1" customWidth="1"/>
    <col min="15" max="16384" width="8.6640625" style="151"/>
  </cols>
  <sheetData>
    <row r="1" spans="1:14" ht="19.2" x14ac:dyDescent="0.3">
      <c r="A1" s="734" t="s">
        <v>691</v>
      </c>
      <c r="B1" s="734"/>
      <c r="C1" s="734"/>
      <c r="D1" s="734"/>
      <c r="E1" s="734"/>
      <c r="F1" s="734"/>
      <c r="G1" s="734"/>
      <c r="H1" s="734"/>
      <c r="I1" s="734"/>
    </row>
    <row r="2" spans="1:14" x14ac:dyDescent="0.3">
      <c r="A2" s="735" t="s">
        <v>692</v>
      </c>
      <c r="B2" s="735"/>
      <c r="C2" s="735"/>
      <c r="D2" s="735"/>
      <c r="E2" s="735"/>
      <c r="F2" s="735"/>
      <c r="G2" s="735"/>
      <c r="H2" s="735"/>
      <c r="I2" s="735"/>
    </row>
    <row r="3" spans="1:14" x14ac:dyDescent="0.3">
      <c r="A3" s="287"/>
      <c r="B3" s="287"/>
      <c r="C3" s="287"/>
      <c r="D3" s="287"/>
      <c r="E3" s="287"/>
      <c r="F3" s="287"/>
      <c r="G3" s="287"/>
      <c r="H3" s="287"/>
      <c r="I3" s="287"/>
      <c r="K3" s="151" t="s">
        <v>693</v>
      </c>
      <c r="L3" s="151" t="s">
        <v>672</v>
      </c>
      <c r="M3" s="151" t="s">
        <v>673</v>
      </c>
      <c r="N3" s="151" t="s">
        <v>694</v>
      </c>
    </row>
    <row r="4" spans="1:14" x14ac:dyDescent="0.3">
      <c r="A4" s="736" t="s">
        <v>695</v>
      </c>
      <c r="B4" s="736"/>
      <c r="C4" s="736"/>
      <c r="D4" s="736"/>
      <c r="E4" s="736"/>
      <c r="F4" s="736"/>
      <c r="G4" s="736"/>
      <c r="H4" s="736"/>
      <c r="I4" s="736"/>
      <c r="K4" s="151" t="s">
        <v>143</v>
      </c>
      <c r="L4" s="151">
        <v>46539</v>
      </c>
      <c r="M4" s="151">
        <v>28147</v>
      </c>
      <c r="N4" s="151">
        <v>74686</v>
      </c>
    </row>
    <row r="5" spans="1:14" ht="21" thickBot="1" x14ac:dyDescent="0.35">
      <c r="A5" s="288" t="s">
        <v>696</v>
      </c>
      <c r="B5" s="288" t="s">
        <v>697</v>
      </c>
      <c r="C5" s="288" t="s">
        <v>698</v>
      </c>
      <c r="D5" s="288" t="s">
        <v>699</v>
      </c>
      <c r="E5" s="288" t="s">
        <v>700</v>
      </c>
      <c r="F5" s="288" t="s">
        <v>701</v>
      </c>
      <c r="G5" s="288" t="s">
        <v>702</v>
      </c>
      <c r="H5" s="288" t="s">
        <v>703</v>
      </c>
      <c r="I5" s="288" t="s">
        <v>704</v>
      </c>
      <c r="K5" s="151" t="s">
        <v>124</v>
      </c>
      <c r="L5" s="151">
        <v>34492</v>
      </c>
      <c r="M5" s="151">
        <v>12554</v>
      </c>
      <c r="N5" s="151">
        <v>47046</v>
      </c>
    </row>
    <row r="6" spans="1:14" ht="16.2" thickBot="1" x14ac:dyDescent="0.35">
      <c r="A6" s="289">
        <v>156226</v>
      </c>
      <c r="B6" s="290">
        <v>45030</v>
      </c>
      <c r="C6" s="291" t="s">
        <v>705</v>
      </c>
      <c r="D6" s="292">
        <v>201256</v>
      </c>
      <c r="E6" s="293">
        <v>40</v>
      </c>
      <c r="F6" s="294" t="s">
        <v>143</v>
      </c>
      <c r="G6" s="295">
        <v>5031</v>
      </c>
      <c r="H6" s="296">
        <v>9847</v>
      </c>
      <c r="I6" s="297" t="s">
        <v>146</v>
      </c>
      <c r="K6" s="151" t="s">
        <v>162</v>
      </c>
      <c r="L6" s="151">
        <v>27155</v>
      </c>
      <c r="M6" s="151">
        <v>2477</v>
      </c>
      <c r="N6" s="151">
        <v>29632</v>
      </c>
    </row>
    <row r="7" spans="1:14" x14ac:dyDescent="0.3">
      <c r="A7" s="174"/>
      <c r="B7" s="174"/>
      <c r="C7" s="174"/>
      <c r="D7" s="174"/>
      <c r="E7" s="174"/>
      <c r="F7" s="174"/>
      <c r="G7" s="174"/>
      <c r="H7" s="174"/>
      <c r="I7" s="174"/>
      <c r="K7" s="151" t="s">
        <v>154</v>
      </c>
      <c r="L7" s="151">
        <v>25286</v>
      </c>
      <c r="M7" s="151">
        <v>1852</v>
      </c>
      <c r="N7" s="151">
        <v>27138</v>
      </c>
    </row>
    <row r="8" spans="1:14" x14ac:dyDescent="0.3">
      <c r="A8" s="736" t="s">
        <v>706</v>
      </c>
      <c r="B8" s="736"/>
      <c r="C8" s="736"/>
      <c r="D8" s="736"/>
      <c r="E8" s="736"/>
      <c r="F8" s="736"/>
      <c r="G8" s="736"/>
      <c r="H8" s="736"/>
      <c r="I8" s="736"/>
      <c r="K8" s="151" t="s">
        <v>146</v>
      </c>
      <c r="L8" s="151">
        <v>22754</v>
      </c>
      <c r="M8" s="151">
        <v>0</v>
      </c>
      <c r="N8" s="151">
        <v>22754</v>
      </c>
    </row>
    <row r="9" spans="1:14" x14ac:dyDescent="0.3">
      <c r="A9" s="298" t="s">
        <v>693</v>
      </c>
      <c r="B9" s="298" t="s">
        <v>707</v>
      </c>
      <c r="C9" s="298" t="s">
        <v>708</v>
      </c>
      <c r="D9" s="298" t="s">
        <v>709</v>
      </c>
      <c r="E9" s="298" t="s">
        <v>710</v>
      </c>
      <c r="F9" s="298" t="s">
        <v>711</v>
      </c>
      <c r="G9" s="298" t="s">
        <v>712</v>
      </c>
      <c r="H9" s="298" t="s">
        <v>713</v>
      </c>
      <c r="I9" s="298"/>
    </row>
    <row r="10" spans="1:14" x14ac:dyDescent="0.3">
      <c r="A10" s="299" t="s">
        <v>672</v>
      </c>
      <c r="B10" s="300">
        <v>31</v>
      </c>
      <c r="C10" s="301">
        <v>156226</v>
      </c>
      <c r="D10" s="302">
        <v>5039</v>
      </c>
      <c r="E10" s="302">
        <v>509</v>
      </c>
      <c r="F10" s="302">
        <v>9847</v>
      </c>
      <c r="G10" s="300" t="s">
        <v>467</v>
      </c>
      <c r="H10" s="303" t="s">
        <v>714</v>
      </c>
      <c r="I10" s="300"/>
      <c r="K10" s="151" t="s">
        <v>693</v>
      </c>
      <c r="L10" s="151" t="s">
        <v>672</v>
      </c>
      <c r="M10" s="151" t="s">
        <v>673</v>
      </c>
    </row>
    <row r="11" spans="1:14" ht="15" thickBot="1" x14ac:dyDescent="0.35">
      <c r="A11" s="304" t="s">
        <v>673</v>
      </c>
      <c r="B11" s="305">
        <v>9</v>
      </c>
      <c r="C11" s="306">
        <v>45030</v>
      </c>
      <c r="D11" s="307">
        <v>5003</v>
      </c>
      <c r="E11" s="307">
        <v>1180</v>
      </c>
      <c r="F11" s="307">
        <v>9605</v>
      </c>
      <c r="G11" s="308" t="s">
        <v>705</v>
      </c>
      <c r="H11" s="303" t="s">
        <v>714</v>
      </c>
      <c r="I11" s="305"/>
      <c r="K11" s="151" t="s">
        <v>694</v>
      </c>
      <c r="L11" s="151">
        <v>156226</v>
      </c>
      <c r="M11" s="151">
        <v>45030</v>
      </c>
    </row>
    <row r="12" spans="1:14" ht="15" thickBot="1" x14ac:dyDescent="0.35">
      <c r="A12" s="309" t="s">
        <v>715</v>
      </c>
      <c r="B12" s="310">
        <v>40</v>
      </c>
      <c r="C12" s="311">
        <v>201256</v>
      </c>
      <c r="D12" s="312"/>
      <c r="E12" s="312"/>
      <c r="F12" s="312"/>
      <c r="G12" s="312"/>
      <c r="H12" s="312"/>
      <c r="I12" s="312"/>
    </row>
    <row r="13" spans="1:14" x14ac:dyDescent="0.3">
      <c r="A13" s="174"/>
      <c r="B13" s="174"/>
      <c r="C13" s="174"/>
      <c r="D13" s="174"/>
      <c r="E13" s="174"/>
      <c r="F13" s="174"/>
      <c r="G13" s="174"/>
      <c r="H13" s="174"/>
      <c r="I13" s="174"/>
    </row>
    <row r="14" spans="1:14" x14ac:dyDescent="0.3">
      <c r="A14" s="729" t="s">
        <v>716</v>
      </c>
      <c r="B14" s="729"/>
      <c r="C14" s="729"/>
      <c r="D14" s="729"/>
      <c r="E14" s="729"/>
      <c r="F14" s="729"/>
      <c r="G14" s="729"/>
      <c r="H14" s="729"/>
      <c r="I14" s="729"/>
    </row>
    <row r="15" spans="1:14" ht="26.4" x14ac:dyDescent="0.3">
      <c r="A15" s="254" t="s">
        <v>142</v>
      </c>
      <c r="B15" s="254" t="s">
        <v>672</v>
      </c>
      <c r="C15" s="254" t="s">
        <v>673</v>
      </c>
      <c r="D15" s="254" t="s">
        <v>717</v>
      </c>
      <c r="E15" s="254" t="s">
        <v>718</v>
      </c>
      <c r="F15" s="254" t="s">
        <v>719</v>
      </c>
      <c r="G15" s="254"/>
    </row>
    <row r="16" spans="1:14" x14ac:dyDescent="0.3">
      <c r="A16" s="313" t="s">
        <v>143</v>
      </c>
      <c r="B16" s="314">
        <v>46539</v>
      </c>
      <c r="C16" s="314">
        <v>28147</v>
      </c>
      <c r="D16" s="301">
        <v>74686</v>
      </c>
      <c r="E16" s="315">
        <v>0.37109999999999999</v>
      </c>
      <c r="F16" s="316" t="s">
        <v>672</v>
      </c>
      <c r="G16" s="316"/>
      <c r="H16" s="317"/>
      <c r="I16" s="318" t="s">
        <v>720</v>
      </c>
    </row>
    <row r="17" spans="1:9" x14ac:dyDescent="0.3">
      <c r="A17" s="319" t="s">
        <v>124</v>
      </c>
      <c r="B17" s="320">
        <v>34492</v>
      </c>
      <c r="C17" s="320">
        <v>12554</v>
      </c>
      <c r="D17" s="321">
        <v>47046</v>
      </c>
      <c r="E17" s="322">
        <v>0.23380000000000001</v>
      </c>
      <c r="F17" s="323" t="s">
        <v>672</v>
      </c>
      <c r="G17" s="323"/>
    </row>
    <row r="18" spans="1:9" x14ac:dyDescent="0.3">
      <c r="A18" s="324" t="s">
        <v>162</v>
      </c>
      <c r="B18" s="325">
        <v>27155</v>
      </c>
      <c r="C18" s="325">
        <v>2477</v>
      </c>
      <c r="D18" s="306">
        <v>29632</v>
      </c>
      <c r="E18" s="326">
        <v>0.1472</v>
      </c>
      <c r="F18" s="327" t="s">
        <v>672</v>
      </c>
      <c r="G18" s="327"/>
    </row>
    <row r="19" spans="1:9" x14ac:dyDescent="0.3">
      <c r="A19" s="328" t="s">
        <v>154</v>
      </c>
      <c r="B19" s="329">
        <v>25286</v>
      </c>
      <c r="C19" s="329">
        <v>1852</v>
      </c>
      <c r="D19" s="306">
        <v>27138</v>
      </c>
      <c r="E19" s="330">
        <v>0.1348</v>
      </c>
      <c r="F19" s="331" t="s">
        <v>672</v>
      </c>
      <c r="G19" s="331"/>
    </row>
    <row r="20" spans="1:9" ht="15" thickBot="1" x14ac:dyDescent="0.35">
      <c r="A20" s="332" t="s">
        <v>146</v>
      </c>
      <c r="B20" s="333">
        <v>22754</v>
      </c>
      <c r="C20" s="334" t="s">
        <v>467</v>
      </c>
      <c r="D20" s="306">
        <v>22754</v>
      </c>
      <c r="E20" s="335">
        <v>0.11310000000000001</v>
      </c>
      <c r="F20" s="336" t="s">
        <v>672</v>
      </c>
      <c r="G20" s="336"/>
    </row>
    <row r="21" spans="1:9" ht="15" thickBot="1" x14ac:dyDescent="0.35">
      <c r="A21" s="261" t="s">
        <v>676</v>
      </c>
      <c r="B21" s="262">
        <v>156226</v>
      </c>
      <c r="C21" s="262">
        <v>45030</v>
      </c>
      <c r="D21" s="262">
        <v>201256</v>
      </c>
      <c r="E21" s="337">
        <v>1</v>
      </c>
      <c r="F21" s="263"/>
      <c r="G21" s="263"/>
      <c r="H21" s="263"/>
      <c r="I21" s="263"/>
    </row>
    <row r="22" spans="1:9" x14ac:dyDescent="0.3">
      <c r="A22" s="174"/>
      <c r="B22" s="174"/>
      <c r="C22" s="174"/>
      <c r="D22" s="174"/>
      <c r="E22" s="174"/>
      <c r="F22" s="174"/>
      <c r="G22" s="174"/>
      <c r="H22" s="174"/>
      <c r="I22" s="174"/>
    </row>
    <row r="23" spans="1:9" x14ac:dyDescent="0.3">
      <c r="A23" s="736" t="s">
        <v>721</v>
      </c>
      <c r="B23" s="736"/>
      <c r="C23" s="736"/>
      <c r="D23" s="736"/>
      <c r="E23" s="736"/>
      <c r="F23" s="736"/>
      <c r="G23" s="736"/>
      <c r="H23" s="736"/>
      <c r="I23" s="736"/>
    </row>
    <row r="24" spans="1:9" x14ac:dyDescent="0.3">
      <c r="A24" s="731" t="s">
        <v>722</v>
      </c>
      <c r="B24" s="731"/>
      <c r="C24" s="731"/>
      <c r="D24" s="731"/>
      <c r="E24" s="731"/>
      <c r="F24" s="731"/>
      <c r="G24" s="731"/>
      <c r="H24" s="731"/>
      <c r="I24" s="731"/>
    </row>
    <row r="25" spans="1:9" x14ac:dyDescent="0.3">
      <c r="A25" s="298" t="s">
        <v>723</v>
      </c>
      <c r="B25" s="298" t="s">
        <v>90</v>
      </c>
      <c r="C25" s="298" t="s">
        <v>142</v>
      </c>
      <c r="D25" s="298" t="s">
        <v>134</v>
      </c>
      <c r="E25" s="298" t="s">
        <v>629</v>
      </c>
      <c r="F25" s="298" t="s">
        <v>724</v>
      </c>
      <c r="G25" s="298" t="s">
        <v>725</v>
      </c>
      <c r="H25" s="298" t="s">
        <v>726</v>
      </c>
      <c r="I25" s="298"/>
    </row>
    <row r="26" spans="1:9" x14ac:dyDescent="0.3">
      <c r="A26" s="338">
        <v>1</v>
      </c>
      <c r="B26" s="338" t="s">
        <v>579</v>
      </c>
      <c r="C26" s="303" t="s">
        <v>143</v>
      </c>
      <c r="D26" s="339" t="s">
        <v>144</v>
      </c>
      <c r="E26" s="321">
        <v>4882</v>
      </c>
      <c r="F26" s="340">
        <v>3.1199999999999999E-2</v>
      </c>
      <c r="G26" s="341">
        <v>4882</v>
      </c>
      <c r="H26" s="340">
        <v>3.1199999999999999E-2</v>
      </c>
      <c r="I26" s="192" t="s">
        <v>727</v>
      </c>
    </row>
    <row r="27" spans="1:9" x14ac:dyDescent="0.3">
      <c r="A27" s="338">
        <v>2</v>
      </c>
      <c r="B27" s="338" t="s">
        <v>580</v>
      </c>
      <c r="C27" s="303" t="s">
        <v>143</v>
      </c>
      <c r="D27" s="339" t="s">
        <v>145</v>
      </c>
      <c r="E27" s="301">
        <v>9758</v>
      </c>
      <c r="F27" s="340">
        <v>6.25E-2</v>
      </c>
      <c r="G27" s="341">
        <v>14640</v>
      </c>
      <c r="H27" s="340">
        <v>9.3700000000000006E-2</v>
      </c>
      <c r="I27" s="192" t="s">
        <v>727</v>
      </c>
    </row>
    <row r="28" spans="1:9" x14ac:dyDescent="0.3">
      <c r="A28" s="336">
        <v>3</v>
      </c>
      <c r="B28" s="336" t="s">
        <v>581</v>
      </c>
      <c r="C28" s="336" t="s">
        <v>146</v>
      </c>
      <c r="D28" s="342" t="s">
        <v>147</v>
      </c>
      <c r="E28" s="343">
        <v>2417</v>
      </c>
      <c r="F28" s="344">
        <v>1.55E-2</v>
      </c>
      <c r="G28" s="345">
        <v>17057</v>
      </c>
      <c r="H28" s="344">
        <v>0.10920000000000001</v>
      </c>
      <c r="I28" s="346"/>
    </row>
    <row r="29" spans="1:9" x14ac:dyDescent="0.3">
      <c r="A29" s="323">
        <v>4</v>
      </c>
      <c r="B29" s="323" t="s">
        <v>582</v>
      </c>
      <c r="C29" s="323" t="s">
        <v>124</v>
      </c>
      <c r="D29" s="347" t="s">
        <v>148</v>
      </c>
      <c r="E29" s="348">
        <v>6640</v>
      </c>
      <c r="F29" s="349">
        <v>4.2500000000000003E-2</v>
      </c>
      <c r="G29" s="320">
        <v>23697</v>
      </c>
      <c r="H29" s="349">
        <v>0.1517</v>
      </c>
      <c r="I29" s="350"/>
    </row>
    <row r="30" spans="1:9" x14ac:dyDescent="0.3">
      <c r="A30" s="323">
        <v>5</v>
      </c>
      <c r="B30" s="323" t="s">
        <v>569</v>
      </c>
      <c r="C30" s="323" t="s">
        <v>124</v>
      </c>
      <c r="D30" s="347" t="s">
        <v>149</v>
      </c>
      <c r="E30" s="321">
        <v>5900</v>
      </c>
      <c r="F30" s="349">
        <v>3.78E-2</v>
      </c>
      <c r="G30" s="320">
        <v>29597</v>
      </c>
      <c r="H30" s="349">
        <v>0.18940000000000001</v>
      </c>
      <c r="I30" s="350"/>
    </row>
    <row r="31" spans="1:9" x14ac:dyDescent="0.3">
      <c r="A31" s="323">
        <v>6</v>
      </c>
      <c r="B31" s="323" t="s">
        <v>583</v>
      </c>
      <c r="C31" s="323" t="s">
        <v>124</v>
      </c>
      <c r="D31" s="347" t="s">
        <v>150</v>
      </c>
      <c r="E31" s="343">
        <v>1818</v>
      </c>
      <c r="F31" s="349">
        <v>1.1599999999999999E-2</v>
      </c>
      <c r="G31" s="320">
        <v>31415</v>
      </c>
      <c r="H31" s="349">
        <v>0.2011</v>
      </c>
      <c r="I31" s="350"/>
    </row>
    <row r="32" spans="1:9" x14ac:dyDescent="0.3">
      <c r="A32" s="323">
        <v>7</v>
      </c>
      <c r="B32" s="323" t="s">
        <v>584</v>
      </c>
      <c r="C32" s="323" t="s">
        <v>124</v>
      </c>
      <c r="D32" s="347" t="s">
        <v>151</v>
      </c>
      <c r="E32" s="348">
        <v>6877</v>
      </c>
      <c r="F32" s="349">
        <v>4.3999999999999997E-2</v>
      </c>
      <c r="G32" s="320">
        <v>38292</v>
      </c>
      <c r="H32" s="349">
        <v>0.24510000000000001</v>
      </c>
      <c r="I32" s="350"/>
    </row>
    <row r="33" spans="1:9" x14ac:dyDescent="0.3">
      <c r="A33" s="338">
        <v>8</v>
      </c>
      <c r="B33" s="338" t="s">
        <v>585</v>
      </c>
      <c r="C33" s="303" t="s">
        <v>143</v>
      </c>
      <c r="D33" s="339" t="s">
        <v>152</v>
      </c>
      <c r="E33" s="343">
        <v>1313</v>
      </c>
      <c r="F33" s="340">
        <v>8.3999999999999995E-3</v>
      </c>
      <c r="G33" s="341">
        <v>39605</v>
      </c>
      <c r="H33" s="340">
        <v>0.2535</v>
      </c>
      <c r="I33" s="192" t="s">
        <v>727</v>
      </c>
    </row>
    <row r="34" spans="1:9" x14ac:dyDescent="0.3">
      <c r="A34" s="338">
        <v>9</v>
      </c>
      <c r="B34" s="338" t="s">
        <v>586</v>
      </c>
      <c r="C34" s="303" t="s">
        <v>143</v>
      </c>
      <c r="D34" s="339" t="s">
        <v>153</v>
      </c>
      <c r="E34" s="343">
        <v>2293</v>
      </c>
      <c r="F34" s="340">
        <v>1.47E-2</v>
      </c>
      <c r="G34" s="341">
        <v>41898</v>
      </c>
      <c r="H34" s="340">
        <v>0.26819999999999999</v>
      </c>
      <c r="I34" s="192" t="s">
        <v>727</v>
      </c>
    </row>
    <row r="35" spans="1:9" x14ac:dyDescent="0.3">
      <c r="A35" s="331">
        <v>10</v>
      </c>
      <c r="B35" s="331" t="s">
        <v>587</v>
      </c>
      <c r="C35" s="331" t="s">
        <v>154</v>
      </c>
      <c r="D35" s="351" t="s">
        <v>155</v>
      </c>
      <c r="E35" s="306">
        <v>4390</v>
      </c>
      <c r="F35" s="352">
        <v>2.81E-2</v>
      </c>
      <c r="G35" s="329">
        <v>46288</v>
      </c>
      <c r="H35" s="352">
        <v>0.29630000000000001</v>
      </c>
      <c r="I35" s="353"/>
    </row>
    <row r="36" spans="1:9" x14ac:dyDescent="0.3">
      <c r="A36" s="323">
        <v>11</v>
      </c>
      <c r="B36" s="323" t="s">
        <v>570</v>
      </c>
      <c r="C36" s="323" t="s">
        <v>124</v>
      </c>
      <c r="D36" s="347" t="s">
        <v>156</v>
      </c>
      <c r="E36" s="306">
        <v>4148</v>
      </c>
      <c r="F36" s="349">
        <v>2.6599999999999999E-2</v>
      </c>
      <c r="G36" s="320">
        <v>50436</v>
      </c>
      <c r="H36" s="349">
        <v>0.32279999999999998</v>
      </c>
      <c r="I36" s="350"/>
    </row>
    <row r="37" spans="1:9" x14ac:dyDescent="0.3">
      <c r="A37" s="336">
        <v>12</v>
      </c>
      <c r="B37" s="336" t="s">
        <v>588</v>
      </c>
      <c r="C37" s="336" t="s">
        <v>146</v>
      </c>
      <c r="D37" s="342" t="s">
        <v>157</v>
      </c>
      <c r="E37" s="301">
        <v>9112</v>
      </c>
      <c r="F37" s="344">
        <v>5.8299999999999998E-2</v>
      </c>
      <c r="G37" s="345">
        <v>59548</v>
      </c>
      <c r="H37" s="344">
        <v>0.38119999999999998</v>
      </c>
      <c r="I37" s="346"/>
    </row>
    <row r="38" spans="1:9" x14ac:dyDescent="0.3">
      <c r="A38" s="338">
        <v>13</v>
      </c>
      <c r="B38" s="338" t="s">
        <v>589</v>
      </c>
      <c r="C38" s="303" t="s">
        <v>143</v>
      </c>
      <c r="D38" s="339" t="s">
        <v>158</v>
      </c>
      <c r="E38" s="343">
        <v>1674</v>
      </c>
      <c r="F38" s="340">
        <v>1.0699999999999999E-2</v>
      </c>
      <c r="G38" s="341">
        <v>61222</v>
      </c>
      <c r="H38" s="340">
        <v>0.39190000000000003</v>
      </c>
      <c r="I38" s="192" t="s">
        <v>727</v>
      </c>
    </row>
    <row r="39" spans="1:9" x14ac:dyDescent="0.3">
      <c r="A39" s="338">
        <v>14</v>
      </c>
      <c r="B39" s="338" t="s">
        <v>571</v>
      </c>
      <c r="C39" s="303" t="s">
        <v>143</v>
      </c>
      <c r="D39" s="339" t="s">
        <v>159</v>
      </c>
      <c r="E39" s="321">
        <v>6340</v>
      </c>
      <c r="F39" s="340">
        <v>4.0599999999999997E-2</v>
      </c>
      <c r="G39" s="341">
        <v>67562</v>
      </c>
      <c r="H39" s="340">
        <v>0.4325</v>
      </c>
      <c r="I39" s="192" t="s">
        <v>727</v>
      </c>
    </row>
    <row r="40" spans="1:9" x14ac:dyDescent="0.3">
      <c r="A40" s="331">
        <v>15</v>
      </c>
      <c r="B40" s="331" t="s">
        <v>590</v>
      </c>
      <c r="C40" s="331" t="s">
        <v>154</v>
      </c>
      <c r="D40" s="351" t="s">
        <v>160</v>
      </c>
      <c r="E40" s="348">
        <v>7259</v>
      </c>
      <c r="F40" s="352">
        <v>4.65E-2</v>
      </c>
      <c r="G40" s="329">
        <v>74821</v>
      </c>
      <c r="H40" s="352">
        <v>0.47889999999999999</v>
      </c>
      <c r="I40" s="353"/>
    </row>
    <row r="41" spans="1:9" x14ac:dyDescent="0.3">
      <c r="A41" s="338">
        <v>16</v>
      </c>
      <c r="B41" s="338" t="s">
        <v>591</v>
      </c>
      <c r="C41" s="303" t="s">
        <v>143</v>
      </c>
      <c r="D41" s="339" t="s">
        <v>161</v>
      </c>
      <c r="E41" s="321">
        <v>6166</v>
      </c>
      <c r="F41" s="340">
        <v>3.95E-2</v>
      </c>
      <c r="G41" s="341">
        <v>80987</v>
      </c>
      <c r="H41" s="340">
        <v>0.51839999999999997</v>
      </c>
      <c r="I41" s="192" t="s">
        <v>727</v>
      </c>
    </row>
    <row r="42" spans="1:9" x14ac:dyDescent="0.3">
      <c r="A42" s="327">
        <v>17</v>
      </c>
      <c r="B42" s="327" t="s">
        <v>592</v>
      </c>
      <c r="C42" s="327" t="s">
        <v>162</v>
      </c>
      <c r="D42" s="354" t="s">
        <v>163</v>
      </c>
      <c r="E42" s="343">
        <v>524</v>
      </c>
      <c r="F42" s="355">
        <v>3.3999999999999998E-3</v>
      </c>
      <c r="G42" s="356">
        <v>81511</v>
      </c>
      <c r="H42" s="355">
        <v>0.52180000000000004</v>
      </c>
      <c r="I42" s="357"/>
    </row>
    <row r="43" spans="1:9" x14ac:dyDescent="0.3">
      <c r="A43" s="327">
        <v>18</v>
      </c>
      <c r="B43" s="327" t="s">
        <v>593</v>
      </c>
      <c r="C43" s="327" t="s">
        <v>162</v>
      </c>
      <c r="D43" s="354" t="s">
        <v>164</v>
      </c>
      <c r="E43" s="321">
        <v>6108</v>
      </c>
      <c r="F43" s="355">
        <v>3.9100000000000003E-2</v>
      </c>
      <c r="G43" s="356">
        <v>87619</v>
      </c>
      <c r="H43" s="355">
        <v>0.56079999999999997</v>
      </c>
      <c r="I43" s="357"/>
    </row>
    <row r="44" spans="1:9" x14ac:dyDescent="0.3">
      <c r="A44" s="338">
        <v>19</v>
      </c>
      <c r="B44" s="338" t="s">
        <v>572</v>
      </c>
      <c r="C44" s="303" t="s">
        <v>143</v>
      </c>
      <c r="D44" s="339" t="s">
        <v>165</v>
      </c>
      <c r="E44" s="301">
        <v>8747</v>
      </c>
      <c r="F44" s="340">
        <v>5.6000000000000001E-2</v>
      </c>
      <c r="G44" s="341">
        <v>96366</v>
      </c>
      <c r="H44" s="340">
        <v>0.61680000000000001</v>
      </c>
      <c r="I44" s="192" t="s">
        <v>727</v>
      </c>
    </row>
    <row r="45" spans="1:9" x14ac:dyDescent="0.3">
      <c r="A45" s="338">
        <v>20</v>
      </c>
      <c r="B45" s="338" t="s">
        <v>594</v>
      </c>
      <c r="C45" s="303" t="s">
        <v>143</v>
      </c>
      <c r="D45" s="339" t="s">
        <v>166</v>
      </c>
      <c r="E45" s="321">
        <v>5366</v>
      </c>
      <c r="F45" s="340">
        <v>3.4299999999999997E-2</v>
      </c>
      <c r="G45" s="341">
        <v>101732</v>
      </c>
      <c r="H45" s="340">
        <v>0.6512</v>
      </c>
      <c r="I45" s="192" t="s">
        <v>727</v>
      </c>
    </row>
    <row r="46" spans="1:9" x14ac:dyDescent="0.3">
      <c r="A46" s="336">
        <v>21</v>
      </c>
      <c r="B46" s="336" t="s">
        <v>573</v>
      </c>
      <c r="C46" s="336" t="s">
        <v>146</v>
      </c>
      <c r="D46" s="342" t="s">
        <v>167</v>
      </c>
      <c r="E46" s="343">
        <v>721</v>
      </c>
      <c r="F46" s="344">
        <v>4.5999999999999999E-3</v>
      </c>
      <c r="G46" s="345">
        <v>102453</v>
      </c>
      <c r="H46" s="344">
        <v>0.65580000000000005</v>
      </c>
      <c r="I46" s="346"/>
    </row>
    <row r="47" spans="1:9" x14ac:dyDescent="0.3">
      <c r="A47" s="331">
        <v>22</v>
      </c>
      <c r="B47" s="331" t="s">
        <v>595</v>
      </c>
      <c r="C47" s="331" t="s">
        <v>154</v>
      </c>
      <c r="D47" s="351" t="s">
        <v>168</v>
      </c>
      <c r="E47" s="343">
        <v>509</v>
      </c>
      <c r="F47" s="352">
        <v>3.3E-3</v>
      </c>
      <c r="G47" s="329">
        <v>102962</v>
      </c>
      <c r="H47" s="352">
        <v>0.65910000000000002</v>
      </c>
      <c r="I47" s="353"/>
    </row>
    <row r="48" spans="1:9" x14ac:dyDescent="0.3">
      <c r="A48" s="327">
        <v>23</v>
      </c>
      <c r="B48" s="327" t="s">
        <v>596</v>
      </c>
      <c r="C48" s="327" t="s">
        <v>162</v>
      </c>
      <c r="D48" s="354" t="s">
        <v>169</v>
      </c>
      <c r="E48" s="301">
        <v>9847</v>
      </c>
      <c r="F48" s="355">
        <v>6.3E-2</v>
      </c>
      <c r="G48" s="356">
        <v>112809</v>
      </c>
      <c r="H48" s="355">
        <v>0.72209999999999996</v>
      </c>
      <c r="I48" s="357"/>
    </row>
    <row r="49" spans="1:9" x14ac:dyDescent="0.3">
      <c r="A49" s="323">
        <v>24</v>
      </c>
      <c r="B49" s="323" t="s">
        <v>597</v>
      </c>
      <c r="C49" s="323" t="s">
        <v>124</v>
      </c>
      <c r="D49" s="347" t="s">
        <v>170</v>
      </c>
      <c r="E49" s="306">
        <v>2638</v>
      </c>
      <c r="F49" s="349">
        <v>1.6899999999999998E-2</v>
      </c>
      <c r="G49" s="320">
        <v>115447</v>
      </c>
      <c r="H49" s="349">
        <v>0.73899999999999999</v>
      </c>
      <c r="I49" s="350"/>
    </row>
    <row r="50" spans="1:9" x14ac:dyDescent="0.3">
      <c r="A50" s="336">
        <v>25</v>
      </c>
      <c r="B50" s="336" t="s">
        <v>574</v>
      </c>
      <c r="C50" s="336" t="s">
        <v>146</v>
      </c>
      <c r="D50" s="342" t="s">
        <v>171</v>
      </c>
      <c r="E50" s="343">
        <v>1216</v>
      </c>
      <c r="F50" s="344">
        <v>7.7999999999999996E-3</v>
      </c>
      <c r="G50" s="345">
        <v>116663</v>
      </c>
      <c r="H50" s="344">
        <v>0.74680000000000002</v>
      </c>
      <c r="I50" s="346"/>
    </row>
    <row r="51" spans="1:9" x14ac:dyDescent="0.3">
      <c r="A51" s="327">
        <v>26</v>
      </c>
      <c r="B51" s="327" t="s">
        <v>598</v>
      </c>
      <c r="C51" s="327" t="s">
        <v>162</v>
      </c>
      <c r="D51" s="354" t="s">
        <v>172</v>
      </c>
      <c r="E51" s="348">
        <v>8292</v>
      </c>
      <c r="F51" s="355">
        <v>5.3100000000000001E-2</v>
      </c>
      <c r="G51" s="356">
        <v>124955</v>
      </c>
      <c r="H51" s="355">
        <v>0.79979999999999996</v>
      </c>
      <c r="I51" s="357"/>
    </row>
    <row r="52" spans="1:9" x14ac:dyDescent="0.3">
      <c r="A52" s="331">
        <v>27</v>
      </c>
      <c r="B52" s="331" t="s">
        <v>599</v>
      </c>
      <c r="C52" s="331" t="s">
        <v>154</v>
      </c>
      <c r="D52" s="351" t="s">
        <v>173</v>
      </c>
      <c r="E52" s="301">
        <v>9059</v>
      </c>
      <c r="F52" s="352">
        <v>5.8000000000000003E-2</v>
      </c>
      <c r="G52" s="329">
        <v>134014</v>
      </c>
      <c r="H52" s="352">
        <v>0.85780000000000001</v>
      </c>
      <c r="I52" s="353"/>
    </row>
    <row r="53" spans="1:9" x14ac:dyDescent="0.3">
      <c r="A53" s="331">
        <v>28</v>
      </c>
      <c r="B53" s="331" t="s">
        <v>600</v>
      </c>
      <c r="C53" s="331" t="s">
        <v>154</v>
      </c>
      <c r="D53" s="351" t="s">
        <v>174</v>
      </c>
      <c r="E53" s="306">
        <v>4069</v>
      </c>
      <c r="F53" s="352">
        <v>2.5999999999999999E-2</v>
      </c>
      <c r="G53" s="329">
        <v>138083</v>
      </c>
      <c r="H53" s="352">
        <v>0.88390000000000002</v>
      </c>
      <c r="I53" s="353"/>
    </row>
    <row r="54" spans="1:9" x14ac:dyDescent="0.3">
      <c r="A54" s="323">
        <v>29</v>
      </c>
      <c r="B54" s="323" t="s">
        <v>601</v>
      </c>
      <c r="C54" s="323" t="s">
        <v>124</v>
      </c>
      <c r="D54" s="347" t="s">
        <v>175</v>
      </c>
      <c r="E54" s="348">
        <v>6471</v>
      </c>
      <c r="F54" s="349">
        <v>4.1399999999999999E-2</v>
      </c>
      <c r="G54" s="320">
        <v>144554</v>
      </c>
      <c r="H54" s="349">
        <v>0.92530000000000001</v>
      </c>
      <c r="I54" s="350"/>
    </row>
    <row r="55" spans="1:9" x14ac:dyDescent="0.3">
      <c r="A55" s="336">
        <v>30</v>
      </c>
      <c r="B55" s="336" t="s">
        <v>575</v>
      </c>
      <c r="C55" s="336" t="s">
        <v>146</v>
      </c>
      <c r="D55" s="342" t="s">
        <v>176</v>
      </c>
      <c r="E55" s="301">
        <v>9288</v>
      </c>
      <c r="F55" s="344">
        <v>5.9499999999999997E-2</v>
      </c>
      <c r="G55" s="345">
        <v>153842</v>
      </c>
      <c r="H55" s="344">
        <v>0.98470000000000002</v>
      </c>
      <c r="I55" s="346"/>
    </row>
    <row r="56" spans="1:9" ht="15" thickBot="1" x14ac:dyDescent="0.35">
      <c r="A56" s="327">
        <v>31</v>
      </c>
      <c r="B56" s="327" t="s">
        <v>576</v>
      </c>
      <c r="C56" s="327" t="s">
        <v>162</v>
      </c>
      <c r="D56" s="354" t="s">
        <v>177</v>
      </c>
      <c r="E56" s="343">
        <v>2384</v>
      </c>
      <c r="F56" s="355">
        <v>1.5299999999999999E-2</v>
      </c>
      <c r="G56" s="356">
        <v>156226</v>
      </c>
      <c r="H56" s="355">
        <v>1</v>
      </c>
      <c r="I56" s="357"/>
    </row>
    <row r="57" spans="1:9" ht="15" thickBot="1" x14ac:dyDescent="0.35">
      <c r="A57" s="358" t="s">
        <v>728</v>
      </c>
      <c r="B57" s="359">
        <v>31</v>
      </c>
      <c r="C57" s="360"/>
      <c r="D57" s="360"/>
      <c r="E57" s="361">
        <v>156226</v>
      </c>
      <c r="F57" s="360"/>
      <c r="G57" s="360"/>
      <c r="H57" s="360"/>
      <c r="I57" s="360"/>
    </row>
    <row r="58" spans="1:9" x14ac:dyDescent="0.3">
      <c r="A58" s="174"/>
      <c r="B58" s="174"/>
      <c r="C58" s="174"/>
      <c r="D58" s="174"/>
      <c r="E58" s="174"/>
      <c r="F58" s="174"/>
      <c r="G58" s="174"/>
      <c r="H58" s="174"/>
      <c r="I58" s="174"/>
    </row>
    <row r="59" spans="1:9" x14ac:dyDescent="0.3">
      <c r="A59" s="732" t="s">
        <v>729</v>
      </c>
      <c r="B59" s="732"/>
      <c r="C59" s="732"/>
      <c r="D59" s="732"/>
      <c r="E59" s="732"/>
      <c r="F59" s="732"/>
      <c r="G59" s="732"/>
      <c r="H59" s="732"/>
      <c r="I59" s="732"/>
    </row>
    <row r="60" spans="1:9" x14ac:dyDescent="0.3">
      <c r="A60" s="362" t="s">
        <v>723</v>
      </c>
      <c r="B60" s="362" t="s">
        <v>90</v>
      </c>
      <c r="C60" s="362" t="s">
        <v>142</v>
      </c>
      <c r="D60" s="362" t="s">
        <v>134</v>
      </c>
      <c r="E60" s="362" t="s">
        <v>629</v>
      </c>
      <c r="F60" s="362" t="s">
        <v>724</v>
      </c>
      <c r="G60" s="362" t="s">
        <v>725</v>
      </c>
      <c r="H60" s="362" t="s">
        <v>726</v>
      </c>
      <c r="I60" s="362"/>
    </row>
    <row r="61" spans="1:9" x14ac:dyDescent="0.3">
      <c r="A61" s="331">
        <v>1</v>
      </c>
      <c r="B61" s="331" t="s">
        <v>602</v>
      </c>
      <c r="C61" s="331" t="s">
        <v>154</v>
      </c>
      <c r="D61" s="351" t="s">
        <v>178</v>
      </c>
      <c r="E61" s="343">
        <v>1852</v>
      </c>
      <c r="F61" s="352">
        <v>4.1099999999999998E-2</v>
      </c>
      <c r="G61" s="329">
        <v>1852</v>
      </c>
      <c r="H61" s="352">
        <v>4.1099999999999998E-2</v>
      </c>
      <c r="I61" s="353"/>
    </row>
    <row r="62" spans="1:9" x14ac:dyDescent="0.3">
      <c r="A62" s="323">
        <v>2</v>
      </c>
      <c r="B62" s="323" t="s">
        <v>603</v>
      </c>
      <c r="C62" s="323" t="s">
        <v>124</v>
      </c>
      <c r="D62" s="347" t="s">
        <v>179</v>
      </c>
      <c r="E62" s="301">
        <v>9558</v>
      </c>
      <c r="F62" s="349">
        <v>0.21229999999999999</v>
      </c>
      <c r="G62" s="320">
        <v>11410</v>
      </c>
      <c r="H62" s="349">
        <v>0.25340000000000001</v>
      </c>
      <c r="I62" s="350"/>
    </row>
    <row r="63" spans="1:9" x14ac:dyDescent="0.3">
      <c r="A63" s="323">
        <v>3</v>
      </c>
      <c r="B63" s="323" t="s">
        <v>604</v>
      </c>
      <c r="C63" s="323" t="s">
        <v>124</v>
      </c>
      <c r="D63" s="347" t="s">
        <v>180</v>
      </c>
      <c r="E63" s="343">
        <v>1180</v>
      </c>
      <c r="F63" s="349">
        <v>2.6200000000000001E-2</v>
      </c>
      <c r="G63" s="320">
        <v>12590</v>
      </c>
      <c r="H63" s="349">
        <v>0.27960000000000002</v>
      </c>
      <c r="I63" s="350"/>
    </row>
    <row r="64" spans="1:9" x14ac:dyDescent="0.3">
      <c r="A64" s="338">
        <v>4</v>
      </c>
      <c r="B64" s="338" t="s">
        <v>605</v>
      </c>
      <c r="C64" s="303" t="s">
        <v>143</v>
      </c>
      <c r="D64" s="339" t="s">
        <v>181</v>
      </c>
      <c r="E64" s="301">
        <v>9605</v>
      </c>
      <c r="F64" s="340">
        <v>0.21329999999999999</v>
      </c>
      <c r="G64" s="341">
        <v>22195</v>
      </c>
      <c r="H64" s="340">
        <v>0.4929</v>
      </c>
      <c r="I64" s="192" t="s">
        <v>727</v>
      </c>
    </row>
    <row r="65" spans="1:9" x14ac:dyDescent="0.3">
      <c r="A65" s="338">
        <v>5</v>
      </c>
      <c r="B65" s="338" t="s">
        <v>606</v>
      </c>
      <c r="C65" s="303" t="s">
        <v>143</v>
      </c>
      <c r="D65" s="339" t="s">
        <v>182</v>
      </c>
      <c r="E65" s="321">
        <v>6086</v>
      </c>
      <c r="F65" s="340">
        <v>0.13519999999999999</v>
      </c>
      <c r="G65" s="341">
        <v>28281</v>
      </c>
      <c r="H65" s="340">
        <v>0.628</v>
      </c>
      <c r="I65" s="192" t="s">
        <v>727</v>
      </c>
    </row>
    <row r="66" spans="1:9" x14ac:dyDescent="0.3">
      <c r="A66" s="338">
        <v>6</v>
      </c>
      <c r="B66" s="338" t="s">
        <v>607</v>
      </c>
      <c r="C66" s="303" t="s">
        <v>143</v>
      </c>
      <c r="D66" s="339" t="s">
        <v>183</v>
      </c>
      <c r="E66" s="321">
        <v>5563</v>
      </c>
      <c r="F66" s="340">
        <v>0.1235</v>
      </c>
      <c r="G66" s="341">
        <v>33844</v>
      </c>
      <c r="H66" s="340">
        <v>0.75160000000000005</v>
      </c>
      <c r="I66" s="192" t="s">
        <v>727</v>
      </c>
    </row>
    <row r="67" spans="1:9" x14ac:dyDescent="0.3">
      <c r="A67" s="323">
        <v>7</v>
      </c>
      <c r="B67" s="323" t="s">
        <v>608</v>
      </c>
      <c r="C67" s="323" t="s">
        <v>124</v>
      </c>
      <c r="D67" s="347" t="s">
        <v>184</v>
      </c>
      <c r="E67" s="343">
        <v>1816</v>
      </c>
      <c r="F67" s="349">
        <v>4.0300000000000002E-2</v>
      </c>
      <c r="G67" s="320">
        <v>35660</v>
      </c>
      <c r="H67" s="349">
        <v>0.79190000000000005</v>
      </c>
      <c r="I67" s="350"/>
    </row>
    <row r="68" spans="1:9" x14ac:dyDescent="0.3">
      <c r="A68" s="338">
        <v>8</v>
      </c>
      <c r="B68" s="338" t="s">
        <v>577</v>
      </c>
      <c r="C68" s="303" t="s">
        <v>143</v>
      </c>
      <c r="D68" s="339" t="s">
        <v>185</v>
      </c>
      <c r="E68" s="348">
        <v>6893</v>
      </c>
      <c r="F68" s="340">
        <v>0.15310000000000001</v>
      </c>
      <c r="G68" s="341">
        <v>42553</v>
      </c>
      <c r="H68" s="340">
        <v>0.94499999999999995</v>
      </c>
      <c r="I68" s="192" t="s">
        <v>727</v>
      </c>
    </row>
    <row r="69" spans="1:9" ht="15" thickBot="1" x14ac:dyDescent="0.35">
      <c r="A69" s="327">
        <v>9</v>
      </c>
      <c r="B69" s="327" t="s">
        <v>609</v>
      </c>
      <c r="C69" s="327" t="s">
        <v>162</v>
      </c>
      <c r="D69" s="354" t="s">
        <v>186</v>
      </c>
      <c r="E69" s="306">
        <v>2477</v>
      </c>
      <c r="F69" s="355">
        <v>5.5E-2</v>
      </c>
      <c r="G69" s="356">
        <v>45030</v>
      </c>
      <c r="H69" s="355">
        <v>1</v>
      </c>
      <c r="I69" s="357"/>
    </row>
    <row r="70" spans="1:9" ht="15" thickBot="1" x14ac:dyDescent="0.35">
      <c r="A70" s="363" t="s">
        <v>730</v>
      </c>
      <c r="B70" s="364">
        <v>9</v>
      </c>
      <c r="C70" s="365"/>
      <c r="D70" s="365"/>
      <c r="E70" s="366">
        <v>45030</v>
      </c>
      <c r="F70" s="365"/>
      <c r="G70" s="365"/>
      <c r="H70" s="365"/>
      <c r="I70" s="365"/>
    </row>
    <row r="71" spans="1:9" x14ac:dyDescent="0.3">
      <c r="A71" s="174"/>
      <c r="B71" s="174"/>
      <c r="C71" s="174"/>
      <c r="D71" s="174"/>
      <c r="E71" s="174"/>
      <c r="F71" s="174"/>
      <c r="G71" s="174"/>
      <c r="H71" s="174"/>
      <c r="I71" s="174"/>
    </row>
    <row r="72" spans="1:9" x14ac:dyDescent="0.3">
      <c r="A72" s="727" t="s">
        <v>731</v>
      </c>
      <c r="B72" s="727"/>
      <c r="C72" s="727"/>
      <c r="D72" s="727"/>
      <c r="E72" s="727"/>
      <c r="F72" s="727"/>
      <c r="G72" s="727"/>
      <c r="H72" s="727"/>
      <c r="I72" s="727"/>
    </row>
    <row r="73" spans="1:9" x14ac:dyDescent="0.3">
      <c r="A73" s="179" t="s">
        <v>693</v>
      </c>
      <c r="B73" s="179" t="s">
        <v>670</v>
      </c>
      <c r="C73" s="179" t="s">
        <v>90</v>
      </c>
      <c r="D73" s="179" t="s">
        <v>142</v>
      </c>
      <c r="E73" s="179" t="s">
        <v>134</v>
      </c>
      <c r="F73" s="179" t="s">
        <v>629</v>
      </c>
      <c r="G73" s="179" t="s">
        <v>724</v>
      </c>
      <c r="H73" s="179"/>
      <c r="I73" s="179"/>
    </row>
    <row r="74" spans="1:9" x14ac:dyDescent="0.3">
      <c r="A74" s="299" t="s">
        <v>672</v>
      </c>
      <c r="B74" s="367" t="s">
        <v>732</v>
      </c>
      <c r="C74" s="327" t="s">
        <v>596</v>
      </c>
      <c r="D74" s="367" t="s">
        <v>162</v>
      </c>
      <c r="E74" s="354" t="s">
        <v>169</v>
      </c>
      <c r="F74" s="368">
        <v>9847</v>
      </c>
      <c r="G74" s="355">
        <v>6.3E-2</v>
      </c>
      <c r="H74" s="357"/>
      <c r="I74" s="357"/>
    </row>
    <row r="75" spans="1:9" x14ac:dyDescent="0.3">
      <c r="A75" s="369"/>
      <c r="B75" s="370" t="s">
        <v>733</v>
      </c>
      <c r="C75" s="338" t="s">
        <v>580</v>
      </c>
      <c r="D75" s="303" t="s">
        <v>143</v>
      </c>
      <c r="E75" s="339" t="s">
        <v>145</v>
      </c>
      <c r="F75" s="371">
        <v>9758</v>
      </c>
      <c r="G75" s="340">
        <v>6.25E-2</v>
      </c>
      <c r="H75" s="372"/>
      <c r="I75" s="372"/>
    </row>
    <row r="76" spans="1:9" x14ac:dyDescent="0.3">
      <c r="A76" s="369"/>
      <c r="B76" s="373" t="s">
        <v>734</v>
      </c>
      <c r="C76" s="374" t="s">
        <v>575</v>
      </c>
      <c r="D76" s="375" t="s">
        <v>146</v>
      </c>
      <c r="E76" s="376" t="s">
        <v>176</v>
      </c>
      <c r="F76" s="333">
        <v>9288</v>
      </c>
      <c r="G76" s="377">
        <v>5.9499999999999997E-2</v>
      </c>
      <c r="H76" s="378"/>
      <c r="I76" s="378"/>
    </row>
    <row r="77" spans="1:9" x14ac:dyDescent="0.3">
      <c r="A77" s="379"/>
      <c r="B77" s="379"/>
      <c r="C77" s="379"/>
      <c r="D77" s="379"/>
      <c r="E77" s="379"/>
      <c r="F77" s="379"/>
      <c r="G77" s="379"/>
      <c r="H77" s="379"/>
      <c r="I77" s="379"/>
    </row>
    <row r="78" spans="1:9" x14ac:dyDescent="0.3">
      <c r="A78" s="304" t="s">
        <v>673</v>
      </c>
      <c r="B78" s="303" t="s">
        <v>732</v>
      </c>
      <c r="C78" s="316" t="s">
        <v>605</v>
      </c>
      <c r="D78" s="303" t="s">
        <v>143</v>
      </c>
      <c r="E78" s="380" t="s">
        <v>181</v>
      </c>
      <c r="F78" s="381">
        <v>9605</v>
      </c>
      <c r="G78" s="382">
        <v>0.21329999999999999</v>
      </c>
      <c r="H78" s="383"/>
      <c r="I78" s="383"/>
    </row>
    <row r="79" spans="1:9" x14ac:dyDescent="0.3">
      <c r="A79" s="384"/>
      <c r="B79" s="385" t="s">
        <v>733</v>
      </c>
      <c r="C79" s="386" t="s">
        <v>603</v>
      </c>
      <c r="D79" s="387" t="s">
        <v>124</v>
      </c>
      <c r="E79" s="388" t="s">
        <v>179</v>
      </c>
      <c r="F79" s="389">
        <v>9558</v>
      </c>
      <c r="G79" s="390">
        <v>0.21229999999999999</v>
      </c>
      <c r="H79" s="391"/>
      <c r="I79" s="391"/>
    </row>
    <row r="80" spans="1:9" x14ac:dyDescent="0.3">
      <c r="A80" s="384"/>
      <c r="B80" s="370" t="s">
        <v>734</v>
      </c>
      <c r="C80" s="338" t="s">
        <v>577</v>
      </c>
      <c r="D80" s="303" t="s">
        <v>143</v>
      </c>
      <c r="E80" s="339" t="s">
        <v>185</v>
      </c>
      <c r="F80" s="371">
        <v>6893</v>
      </c>
      <c r="G80" s="340">
        <v>0.15310000000000001</v>
      </c>
      <c r="H80" s="372"/>
      <c r="I80" s="372"/>
    </row>
    <row r="81" spans="1:9" x14ac:dyDescent="0.3">
      <c r="A81" s="379"/>
      <c r="B81" s="379"/>
      <c r="C81" s="379"/>
      <c r="D81" s="379"/>
      <c r="E81" s="379"/>
      <c r="F81" s="379"/>
      <c r="G81" s="379"/>
      <c r="H81" s="379"/>
      <c r="I81" s="379"/>
    </row>
    <row r="82" spans="1:9" x14ac:dyDescent="0.3">
      <c r="A82" s="174"/>
      <c r="B82" s="174"/>
      <c r="C82" s="174"/>
      <c r="D82" s="174"/>
      <c r="E82" s="174"/>
      <c r="F82" s="174"/>
      <c r="G82" s="174"/>
      <c r="H82" s="174"/>
      <c r="I82" s="174"/>
    </row>
    <row r="83" spans="1:9" x14ac:dyDescent="0.3">
      <c r="A83" s="733" t="s">
        <v>735</v>
      </c>
      <c r="B83" s="733"/>
      <c r="C83" s="733"/>
      <c r="D83" s="733"/>
      <c r="E83" s="733"/>
      <c r="F83" s="733"/>
      <c r="G83" s="733"/>
      <c r="H83" s="733"/>
      <c r="I83" s="733"/>
    </row>
    <row r="84" spans="1:9" x14ac:dyDescent="0.3">
      <c r="A84" s="392" t="s">
        <v>736</v>
      </c>
      <c r="B84" s="313" t="s">
        <v>680</v>
      </c>
      <c r="C84" s="319" t="s">
        <v>681</v>
      </c>
      <c r="D84" s="393" t="s">
        <v>682</v>
      </c>
      <c r="E84" s="328" t="s">
        <v>683</v>
      </c>
      <c r="F84" s="394" t="s">
        <v>684</v>
      </c>
    </row>
    <row r="85" spans="1:9" x14ac:dyDescent="0.3">
      <c r="A85" s="392" t="s">
        <v>737</v>
      </c>
      <c r="B85" s="395" t="s">
        <v>738</v>
      </c>
      <c r="C85" s="396" t="s">
        <v>739</v>
      </c>
      <c r="D85" s="397" t="s">
        <v>740</v>
      </c>
      <c r="E85" s="398" t="s">
        <v>741</v>
      </c>
      <c r="F85" s="399" t="s">
        <v>742</v>
      </c>
    </row>
    <row r="86" spans="1:9" x14ac:dyDescent="0.3">
      <c r="A86" s="174"/>
      <c r="B86" s="174"/>
      <c r="C86" s="174"/>
      <c r="D86" s="174"/>
      <c r="E86" s="174"/>
      <c r="F86" s="174"/>
      <c r="G86" s="174"/>
      <c r="H86" s="174"/>
      <c r="I86" s="174"/>
    </row>
  </sheetData>
  <mergeCells count="10">
    <mergeCell ref="A24:I24"/>
    <mergeCell ref="A59:I59"/>
    <mergeCell ref="A72:I72"/>
    <mergeCell ref="A83:I83"/>
    <mergeCell ref="A1:I1"/>
    <mergeCell ref="A2:I2"/>
    <mergeCell ref="A4:I4"/>
    <mergeCell ref="A8:I8"/>
    <mergeCell ref="A14:I14"/>
    <mergeCell ref="A23:I23"/>
  </mergeCells>
  <pageMargins left="0.75" right="0.75" top="1" bottom="1" header="0.511811023622047" footer="0.511811023622047"/>
  <pageSetup paperSize="9" orientation="portrait" horizontalDpi="300" verticalDpi="30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E41"/>
  <sheetViews>
    <sheetView workbookViewId="0"/>
  </sheetViews>
  <sheetFormatPr defaultRowHeight="14.4" x14ac:dyDescent="0.3"/>
  <sheetData>
    <row r="1" spans="1:5" x14ac:dyDescent="0.3">
      <c r="A1" t="s">
        <v>187</v>
      </c>
      <c r="B1" t="s">
        <v>188</v>
      </c>
      <c r="C1" t="s">
        <v>189</v>
      </c>
      <c r="D1" t="s">
        <v>190</v>
      </c>
      <c r="E1" t="s">
        <v>191</v>
      </c>
    </row>
    <row r="2" spans="1:5" x14ac:dyDescent="0.3">
      <c r="A2">
        <v>300</v>
      </c>
      <c r="B2" t="s">
        <v>192</v>
      </c>
      <c r="C2">
        <v>35</v>
      </c>
      <c r="D2">
        <v>9</v>
      </c>
      <c r="E2" t="s">
        <v>193</v>
      </c>
    </row>
    <row r="3" spans="1:5" x14ac:dyDescent="0.3">
      <c r="A3">
        <v>301</v>
      </c>
      <c r="B3" t="s">
        <v>194</v>
      </c>
      <c r="C3">
        <v>39</v>
      </c>
      <c r="D3">
        <v>10</v>
      </c>
      <c r="E3" t="s">
        <v>195</v>
      </c>
    </row>
    <row r="4" spans="1:5" x14ac:dyDescent="0.3">
      <c r="A4">
        <v>302</v>
      </c>
      <c r="B4" t="s">
        <v>196</v>
      </c>
      <c r="C4">
        <v>22</v>
      </c>
      <c r="D4">
        <v>9</v>
      </c>
      <c r="E4" t="s">
        <v>197</v>
      </c>
    </row>
    <row r="5" spans="1:5" x14ac:dyDescent="0.3">
      <c r="A5">
        <v>303</v>
      </c>
      <c r="B5" t="s">
        <v>198</v>
      </c>
      <c r="C5">
        <v>9</v>
      </c>
      <c r="D5">
        <v>14</v>
      </c>
      <c r="E5" t="s">
        <v>199</v>
      </c>
    </row>
    <row r="6" spans="1:5" x14ac:dyDescent="0.3">
      <c r="A6">
        <v>304</v>
      </c>
      <c r="B6" t="s">
        <v>200</v>
      </c>
      <c r="C6">
        <v>5</v>
      </c>
      <c r="D6">
        <v>7</v>
      </c>
      <c r="E6" t="s">
        <v>201</v>
      </c>
    </row>
    <row r="7" spans="1:5" x14ac:dyDescent="0.3">
      <c r="A7">
        <v>305</v>
      </c>
      <c r="B7" t="s">
        <v>202</v>
      </c>
      <c r="C7">
        <v>2</v>
      </c>
      <c r="D7">
        <v>14</v>
      </c>
      <c r="E7" t="s">
        <v>193</v>
      </c>
    </row>
    <row r="8" spans="1:5" x14ac:dyDescent="0.3">
      <c r="A8">
        <v>306</v>
      </c>
      <c r="B8" t="s">
        <v>203</v>
      </c>
      <c r="C8">
        <v>33</v>
      </c>
      <c r="D8">
        <v>7</v>
      </c>
      <c r="E8" t="s">
        <v>199</v>
      </c>
    </row>
    <row r="9" spans="1:5" x14ac:dyDescent="0.3">
      <c r="A9">
        <v>307</v>
      </c>
      <c r="B9" t="s">
        <v>204</v>
      </c>
      <c r="C9">
        <v>13</v>
      </c>
      <c r="D9">
        <v>7</v>
      </c>
      <c r="E9" t="s">
        <v>199</v>
      </c>
    </row>
    <row r="10" spans="1:5" x14ac:dyDescent="0.3">
      <c r="A10">
        <v>308</v>
      </c>
      <c r="B10" t="s">
        <v>205</v>
      </c>
      <c r="C10">
        <v>39</v>
      </c>
      <c r="D10">
        <v>10</v>
      </c>
      <c r="E10" t="s">
        <v>195</v>
      </c>
    </row>
    <row r="11" spans="1:5" x14ac:dyDescent="0.3">
      <c r="A11">
        <v>309</v>
      </c>
      <c r="B11" t="s">
        <v>206</v>
      </c>
      <c r="C11">
        <v>28</v>
      </c>
      <c r="D11">
        <v>6</v>
      </c>
      <c r="E11" t="s">
        <v>201</v>
      </c>
    </row>
    <row r="12" spans="1:5" x14ac:dyDescent="0.3">
      <c r="A12">
        <v>310</v>
      </c>
      <c r="B12" t="s">
        <v>207</v>
      </c>
      <c r="C12">
        <v>7</v>
      </c>
      <c r="D12">
        <v>12</v>
      </c>
      <c r="E12" t="s">
        <v>195</v>
      </c>
    </row>
    <row r="13" spans="1:5" x14ac:dyDescent="0.3">
      <c r="A13">
        <v>311</v>
      </c>
      <c r="B13" t="s">
        <v>208</v>
      </c>
      <c r="C13">
        <v>40</v>
      </c>
      <c r="D13">
        <v>11</v>
      </c>
      <c r="E13" t="s">
        <v>197</v>
      </c>
    </row>
    <row r="14" spans="1:5" x14ac:dyDescent="0.3">
      <c r="A14">
        <v>312</v>
      </c>
      <c r="B14" t="s">
        <v>209</v>
      </c>
      <c r="C14">
        <v>12</v>
      </c>
      <c r="D14">
        <v>9</v>
      </c>
      <c r="E14" t="s">
        <v>199</v>
      </c>
    </row>
    <row r="15" spans="1:5" x14ac:dyDescent="0.3">
      <c r="A15">
        <v>313</v>
      </c>
      <c r="B15" t="s">
        <v>210</v>
      </c>
      <c r="C15">
        <v>8</v>
      </c>
      <c r="D15">
        <v>14</v>
      </c>
      <c r="E15" t="s">
        <v>195</v>
      </c>
    </row>
    <row r="16" spans="1:5" x14ac:dyDescent="0.3">
      <c r="A16">
        <v>314</v>
      </c>
      <c r="B16" t="s">
        <v>211</v>
      </c>
      <c r="C16">
        <v>2</v>
      </c>
      <c r="D16">
        <v>14</v>
      </c>
      <c r="E16" t="s">
        <v>197</v>
      </c>
    </row>
    <row r="17" spans="1:5" x14ac:dyDescent="0.3">
      <c r="A17">
        <v>315</v>
      </c>
      <c r="B17" t="s">
        <v>212</v>
      </c>
      <c r="C17">
        <v>11</v>
      </c>
      <c r="D17">
        <v>8</v>
      </c>
      <c r="E17" t="s">
        <v>201</v>
      </c>
    </row>
    <row r="18" spans="1:5" x14ac:dyDescent="0.3">
      <c r="A18">
        <v>316</v>
      </c>
      <c r="B18" t="s">
        <v>213</v>
      </c>
      <c r="C18">
        <v>10</v>
      </c>
      <c r="D18">
        <v>10</v>
      </c>
      <c r="E18" t="s">
        <v>195</v>
      </c>
    </row>
    <row r="19" spans="1:5" x14ac:dyDescent="0.3">
      <c r="A19">
        <v>317</v>
      </c>
      <c r="B19" t="s">
        <v>214</v>
      </c>
      <c r="C19">
        <v>3</v>
      </c>
      <c r="D19">
        <v>13</v>
      </c>
      <c r="E19" t="s">
        <v>201</v>
      </c>
    </row>
    <row r="20" spans="1:5" x14ac:dyDescent="0.3">
      <c r="A20">
        <v>318</v>
      </c>
      <c r="B20" t="s">
        <v>215</v>
      </c>
      <c r="C20">
        <v>29</v>
      </c>
      <c r="D20">
        <v>6</v>
      </c>
      <c r="E20" t="s">
        <v>216</v>
      </c>
    </row>
    <row r="21" spans="1:5" x14ac:dyDescent="0.3">
      <c r="A21">
        <v>319</v>
      </c>
      <c r="B21" t="s">
        <v>217</v>
      </c>
      <c r="C21">
        <v>10</v>
      </c>
      <c r="D21">
        <v>10</v>
      </c>
      <c r="E21" t="s">
        <v>195</v>
      </c>
    </row>
    <row r="22" spans="1:5" x14ac:dyDescent="0.3">
      <c r="A22">
        <v>320</v>
      </c>
      <c r="B22" t="s">
        <v>218</v>
      </c>
      <c r="C22">
        <v>20</v>
      </c>
      <c r="D22">
        <v>12</v>
      </c>
      <c r="E22" t="s">
        <v>199</v>
      </c>
    </row>
    <row r="23" spans="1:5" x14ac:dyDescent="0.3">
      <c r="A23">
        <v>321</v>
      </c>
      <c r="B23" t="s">
        <v>219</v>
      </c>
      <c r="C23">
        <v>13</v>
      </c>
      <c r="D23">
        <v>9</v>
      </c>
      <c r="E23" t="s">
        <v>199</v>
      </c>
    </row>
    <row r="24" spans="1:5" x14ac:dyDescent="0.3">
      <c r="A24">
        <v>322</v>
      </c>
      <c r="B24" t="s">
        <v>220</v>
      </c>
      <c r="C24">
        <v>45</v>
      </c>
      <c r="D24">
        <v>8</v>
      </c>
      <c r="E24" t="s">
        <v>199</v>
      </c>
    </row>
    <row r="25" spans="1:5" x14ac:dyDescent="0.3">
      <c r="A25">
        <v>323</v>
      </c>
      <c r="B25" t="s">
        <v>221</v>
      </c>
      <c r="C25">
        <v>42</v>
      </c>
      <c r="D25">
        <v>12</v>
      </c>
      <c r="E25" t="s">
        <v>195</v>
      </c>
    </row>
    <row r="26" spans="1:5" x14ac:dyDescent="0.3">
      <c r="A26">
        <v>324</v>
      </c>
      <c r="B26" t="s">
        <v>222</v>
      </c>
      <c r="C26">
        <v>7</v>
      </c>
      <c r="D26">
        <v>8</v>
      </c>
      <c r="E26" t="s">
        <v>193</v>
      </c>
    </row>
    <row r="27" spans="1:5" x14ac:dyDescent="0.3">
      <c r="A27">
        <v>325</v>
      </c>
      <c r="B27" t="s">
        <v>223</v>
      </c>
      <c r="C27">
        <v>16</v>
      </c>
      <c r="D27">
        <v>6</v>
      </c>
      <c r="E27" t="s">
        <v>197</v>
      </c>
    </row>
    <row r="28" spans="1:5" x14ac:dyDescent="0.3">
      <c r="A28">
        <v>326</v>
      </c>
      <c r="B28" t="s">
        <v>224</v>
      </c>
      <c r="C28">
        <v>21</v>
      </c>
      <c r="D28">
        <v>15</v>
      </c>
      <c r="E28" t="s">
        <v>195</v>
      </c>
    </row>
    <row r="29" spans="1:5" x14ac:dyDescent="0.3">
      <c r="A29">
        <v>327</v>
      </c>
      <c r="B29" t="s">
        <v>225</v>
      </c>
      <c r="C29">
        <v>34</v>
      </c>
      <c r="D29">
        <v>5</v>
      </c>
      <c r="E29" t="s">
        <v>195</v>
      </c>
    </row>
    <row r="30" spans="1:5" x14ac:dyDescent="0.3">
      <c r="A30">
        <v>328</v>
      </c>
      <c r="B30" t="s">
        <v>226</v>
      </c>
      <c r="C30">
        <v>47</v>
      </c>
      <c r="D30">
        <v>14</v>
      </c>
      <c r="E30" t="s">
        <v>195</v>
      </c>
    </row>
    <row r="31" spans="1:5" x14ac:dyDescent="0.3">
      <c r="A31">
        <v>329</v>
      </c>
      <c r="B31" t="s">
        <v>227</v>
      </c>
      <c r="C31">
        <v>10</v>
      </c>
      <c r="D31">
        <v>15</v>
      </c>
      <c r="E31" t="s">
        <v>197</v>
      </c>
    </row>
    <row r="32" spans="1:5" x14ac:dyDescent="0.3">
      <c r="A32">
        <v>330</v>
      </c>
      <c r="B32" t="s">
        <v>228</v>
      </c>
      <c r="C32">
        <v>18</v>
      </c>
      <c r="D32">
        <v>7</v>
      </c>
      <c r="E32" t="s">
        <v>197</v>
      </c>
    </row>
    <row r="33" spans="1:5" x14ac:dyDescent="0.3">
      <c r="A33">
        <v>331</v>
      </c>
      <c r="B33" t="s">
        <v>229</v>
      </c>
      <c r="C33">
        <v>4</v>
      </c>
      <c r="D33">
        <v>6</v>
      </c>
      <c r="E33" t="s">
        <v>197</v>
      </c>
    </row>
    <row r="34" spans="1:5" x14ac:dyDescent="0.3">
      <c r="A34">
        <v>332</v>
      </c>
      <c r="B34" t="s">
        <v>230</v>
      </c>
      <c r="C34">
        <v>26</v>
      </c>
      <c r="D34">
        <v>5</v>
      </c>
      <c r="E34" t="s">
        <v>216</v>
      </c>
    </row>
    <row r="35" spans="1:5" x14ac:dyDescent="0.3">
      <c r="A35">
        <v>333</v>
      </c>
      <c r="B35" t="s">
        <v>231</v>
      </c>
      <c r="C35">
        <v>1</v>
      </c>
      <c r="D35">
        <v>7</v>
      </c>
      <c r="E35" t="s">
        <v>195</v>
      </c>
    </row>
    <row r="36" spans="1:5" x14ac:dyDescent="0.3">
      <c r="A36">
        <v>334</v>
      </c>
      <c r="B36" t="s">
        <v>232</v>
      </c>
      <c r="C36">
        <v>26</v>
      </c>
      <c r="D36">
        <v>11</v>
      </c>
      <c r="E36" t="s">
        <v>197</v>
      </c>
    </row>
    <row r="37" spans="1:5" x14ac:dyDescent="0.3">
      <c r="A37">
        <v>335</v>
      </c>
      <c r="B37" t="s">
        <v>233</v>
      </c>
      <c r="C37">
        <v>15</v>
      </c>
      <c r="D37">
        <v>14</v>
      </c>
      <c r="E37" t="s">
        <v>193</v>
      </c>
    </row>
    <row r="38" spans="1:5" x14ac:dyDescent="0.3">
      <c r="A38">
        <v>336</v>
      </c>
      <c r="B38" t="s">
        <v>234</v>
      </c>
      <c r="C38">
        <v>42</v>
      </c>
      <c r="D38">
        <v>8</v>
      </c>
      <c r="E38" t="s">
        <v>199</v>
      </c>
    </row>
    <row r="39" spans="1:5" x14ac:dyDescent="0.3">
      <c r="A39">
        <v>337</v>
      </c>
      <c r="B39" t="s">
        <v>235</v>
      </c>
      <c r="C39">
        <v>37</v>
      </c>
      <c r="D39">
        <v>9</v>
      </c>
      <c r="E39" t="s">
        <v>201</v>
      </c>
    </row>
    <row r="40" spans="1:5" x14ac:dyDescent="0.3">
      <c r="A40">
        <v>338</v>
      </c>
      <c r="B40" t="s">
        <v>236</v>
      </c>
      <c r="C40">
        <v>35</v>
      </c>
      <c r="D40">
        <v>8</v>
      </c>
      <c r="E40" t="s">
        <v>216</v>
      </c>
    </row>
    <row r="41" spans="1:5" x14ac:dyDescent="0.3">
      <c r="A41">
        <v>339</v>
      </c>
      <c r="B41" t="s">
        <v>237</v>
      </c>
      <c r="C41">
        <v>50</v>
      </c>
      <c r="D41">
        <v>9</v>
      </c>
      <c r="E41" t="s">
        <v>199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269F-24E1-4611-857F-6A8ADBB37804}">
  <sheetPr>
    <tabColor theme="4" tint="0.79998168889431442"/>
  </sheetPr>
  <dimension ref="A1:F41"/>
  <sheetViews>
    <sheetView workbookViewId="0">
      <pane ySplit="1" topLeftCell="A2" activePane="bottomLeft" state="frozen"/>
      <selection sqref="A1:I1"/>
      <selection pane="bottomLeft" activeCell="A2" sqref="A2"/>
    </sheetView>
  </sheetViews>
  <sheetFormatPr defaultRowHeight="14.4" x14ac:dyDescent="0.3"/>
  <cols>
    <col min="1" max="1" width="10" customWidth="1"/>
    <col min="2" max="2" width="14" customWidth="1"/>
    <col min="3" max="3" width="18" customWidth="1"/>
    <col min="4" max="4" width="16" customWidth="1"/>
    <col min="5" max="6" width="14" customWidth="1"/>
  </cols>
  <sheetData>
    <row r="1" spans="1:6" ht="22.05" customHeight="1" x14ac:dyDescent="0.3">
      <c r="A1" s="400" t="s">
        <v>187</v>
      </c>
      <c r="B1" s="400" t="s">
        <v>188</v>
      </c>
      <c r="C1" s="400" t="s">
        <v>189</v>
      </c>
      <c r="D1" s="400" t="s">
        <v>190</v>
      </c>
      <c r="E1" s="400" t="s">
        <v>191</v>
      </c>
      <c r="F1" s="400" t="s">
        <v>240</v>
      </c>
    </row>
    <row r="2" spans="1:6" ht="18" customHeight="1" x14ac:dyDescent="0.3">
      <c r="A2" s="401">
        <v>300</v>
      </c>
      <c r="B2" s="402" t="s">
        <v>192</v>
      </c>
      <c r="C2" s="401">
        <v>35</v>
      </c>
      <c r="D2" s="401">
        <v>9</v>
      </c>
      <c r="E2" s="401" t="s">
        <v>193</v>
      </c>
      <c r="F2" s="403" t="s">
        <v>743</v>
      </c>
    </row>
    <row r="3" spans="1:6" ht="18" customHeight="1" x14ac:dyDescent="0.3">
      <c r="A3" s="401">
        <v>301</v>
      </c>
      <c r="B3" s="402" t="s">
        <v>194</v>
      </c>
      <c r="C3" s="401">
        <v>39</v>
      </c>
      <c r="D3" s="401">
        <v>10</v>
      </c>
      <c r="E3" s="401" t="s">
        <v>195</v>
      </c>
      <c r="F3" s="403" t="s">
        <v>743</v>
      </c>
    </row>
    <row r="4" spans="1:6" ht="18" customHeight="1" x14ac:dyDescent="0.3">
      <c r="A4" s="401">
        <v>302</v>
      </c>
      <c r="B4" s="402" t="s">
        <v>196</v>
      </c>
      <c r="C4" s="401">
        <v>22</v>
      </c>
      <c r="D4" s="401">
        <v>9</v>
      </c>
      <c r="E4" s="401" t="s">
        <v>197</v>
      </c>
      <c r="F4" s="403" t="s">
        <v>743</v>
      </c>
    </row>
    <row r="5" spans="1:6" ht="18" customHeight="1" x14ac:dyDescent="0.3">
      <c r="A5" s="404">
        <v>303</v>
      </c>
      <c r="B5" s="405" t="s">
        <v>198</v>
      </c>
      <c r="C5" s="404">
        <v>9</v>
      </c>
      <c r="D5" s="404">
        <v>14</v>
      </c>
      <c r="E5" s="404" t="s">
        <v>199</v>
      </c>
      <c r="F5" s="406" t="s">
        <v>744</v>
      </c>
    </row>
    <row r="6" spans="1:6" ht="18" customHeight="1" x14ac:dyDescent="0.3">
      <c r="A6" s="404">
        <v>304</v>
      </c>
      <c r="B6" s="405" t="s">
        <v>200</v>
      </c>
      <c r="C6" s="404">
        <v>5</v>
      </c>
      <c r="D6" s="404">
        <v>7</v>
      </c>
      <c r="E6" s="404" t="s">
        <v>201</v>
      </c>
      <c r="F6" s="406" t="s">
        <v>744</v>
      </c>
    </row>
    <row r="7" spans="1:6" ht="18" customHeight="1" x14ac:dyDescent="0.3">
      <c r="A7" s="404">
        <v>305</v>
      </c>
      <c r="B7" s="405" t="s">
        <v>202</v>
      </c>
      <c r="C7" s="404">
        <v>2</v>
      </c>
      <c r="D7" s="404">
        <v>14</v>
      </c>
      <c r="E7" s="404" t="s">
        <v>193</v>
      </c>
      <c r="F7" s="406" t="s">
        <v>744</v>
      </c>
    </row>
    <row r="8" spans="1:6" ht="18" customHeight="1" x14ac:dyDescent="0.3">
      <c r="A8" s="401">
        <v>306</v>
      </c>
      <c r="B8" s="402" t="s">
        <v>203</v>
      </c>
      <c r="C8" s="401">
        <v>33</v>
      </c>
      <c r="D8" s="401">
        <v>7</v>
      </c>
      <c r="E8" s="401" t="s">
        <v>199</v>
      </c>
      <c r="F8" s="403" t="s">
        <v>743</v>
      </c>
    </row>
    <row r="9" spans="1:6" ht="18" customHeight="1" x14ac:dyDescent="0.3">
      <c r="A9" s="401">
        <v>307</v>
      </c>
      <c r="B9" s="402" t="s">
        <v>204</v>
      </c>
      <c r="C9" s="401">
        <v>13</v>
      </c>
      <c r="D9" s="401">
        <v>7</v>
      </c>
      <c r="E9" s="401" t="s">
        <v>199</v>
      </c>
      <c r="F9" s="403" t="s">
        <v>743</v>
      </c>
    </row>
    <row r="10" spans="1:6" ht="18" customHeight="1" x14ac:dyDescent="0.3">
      <c r="A10" s="401">
        <v>308</v>
      </c>
      <c r="B10" s="402" t="s">
        <v>205</v>
      </c>
      <c r="C10" s="401">
        <v>39</v>
      </c>
      <c r="D10" s="401">
        <v>10</v>
      </c>
      <c r="E10" s="401" t="s">
        <v>195</v>
      </c>
      <c r="F10" s="403" t="s">
        <v>743</v>
      </c>
    </row>
    <row r="11" spans="1:6" ht="18" customHeight="1" x14ac:dyDescent="0.3">
      <c r="A11" s="401">
        <v>309</v>
      </c>
      <c r="B11" s="402" t="s">
        <v>206</v>
      </c>
      <c r="C11" s="401">
        <v>28</v>
      </c>
      <c r="D11" s="401">
        <v>6</v>
      </c>
      <c r="E11" s="401" t="s">
        <v>201</v>
      </c>
      <c r="F11" s="403" t="s">
        <v>743</v>
      </c>
    </row>
    <row r="12" spans="1:6" ht="18" customHeight="1" x14ac:dyDescent="0.3">
      <c r="A12" s="404">
        <v>310</v>
      </c>
      <c r="B12" s="405" t="s">
        <v>207</v>
      </c>
      <c r="C12" s="404">
        <v>7</v>
      </c>
      <c r="D12" s="404">
        <v>12</v>
      </c>
      <c r="E12" s="404" t="s">
        <v>195</v>
      </c>
      <c r="F12" s="406" t="s">
        <v>744</v>
      </c>
    </row>
    <row r="13" spans="1:6" ht="18" customHeight="1" x14ac:dyDescent="0.3">
      <c r="A13" s="401">
        <v>311</v>
      </c>
      <c r="B13" s="402" t="s">
        <v>208</v>
      </c>
      <c r="C13" s="401">
        <v>40</v>
      </c>
      <c r="D13" s="401">
        <v>11</v>
      </c>
      <c r="E13" s="401" t="s">
        <v>197</v>
      </c>
      <c r="F13" s="403" t="s">
        <v>743</v>
      </c>
    </row>
    <row r="14" spans="1:6" ht="18" customHeight="1" x14ac:dyDescent="0.3">
      <c r="A14" s="401">
        <v>312</v>
      </c>
      <c r="B14" s="402" t="s">
        <v>209</v>
      </c>
      <c r="C14" s="401">
        <v>12</v>
      </c>
      <c r="D14" s="401">
        <v>9</v>
      </c>
      <c r="E14" s="401" t="s">
        <v>199</v>
      </c>
      <c r="F14" s="403" t="s">
        <v>743</v>
      </c>
    </row>
    <row r="15" spans="1:6" ht="18" customHeight="1" x14ac:dyDescent="0.3">
      <c r="A15" s="404">
        <v>313</v>
      </c>
      <c r="B15" s="405" t="s">
        <v>210</v>
      </c>
      <c r="C15" s="404">
        <v>8</v>
      </c>
      <c r="D15" s="404">
        <v>14</v>
      </c>
      <c r="E15" s="404" t="s">
        <v>195</v>
      </c>
      <c r="F15" s="406" t="s">
        <v>744</v>
      </c>
    </row>
    <row r="16" spans="1:6" ht="18" customHeight="1" x14ac:dyDescent="0.3">
      <c r="A16" s="404">
        <v>314</v>
      </c>
      <c r="B16" s="405" t="s">
        <v>211</v>
      </c>
      <c r="C16" s="404">
        <v>2</v>
      </c>
      <c r="D16" s="404">
        <v>14</v>
      </c>
      <c r="E16" s="404" t="s">
        <v>197</v>
      </c>
      <c r="F16" s="406" t="s">
        <v>744</v>
      </c>
    </row>
    <row r="17" spans="1:6" ht="18" customHeight="1" x14ac:dyDescent="0.3">
      <c r="A17" s="401">
        <v>315</v>
      </c>
      <c r="B17" s="402" t="s">
        <v>212</v>
      </c>
      <c r="C17" s="401">
        <v>11</v>
      </c>
      <c r="D17" s="401">
        <v>8</v>
      </c>
      <c r="E17" s="401" t="s">
        <v>201</v>
      </c>
      <c r="F17" s="403" t="s">
        <v>743</v>
      </c>
    </row>
    <row r="18" spans="1:6" ht="18" customHeight="1" x14ac:dyDescent="0.3">
      <c r="A18" s="401">
        <v>316</v>
      </c>
      <c r="B18" s="402" t="s">
        <v>213</v>
      </c>
      <c r="C18" s="401">
        <v>10</v>
      </c>
      <c r="D18" s="401">
        <v>10</v>
      </c>
      <c r="E18" s="401" t="s">
        <v>195</v>
      </c>
      <c r="F18" s="403" t="s">
        <v>743</v>
      </c>
    </row>
    <row r="19" spans="1:6" ht="18" customHeight="1" x14ac:dyDescent="0.3">
      <c r="A19" s="404">
        <v>317</v>
      </c>
      <c r="B19" s="405" t="s">
        <v>214</v>
      </c>
      <c r="C19" s="404">
        <v>3</v>
      </c>
      <c r="D19" s="404">
        <v>13</v>
      </c>
      <c r="E19" s="404" t="s">
        <v>201</v>
      </c>
      <c r="F19" s="406" t="s">
        <v>744</v>
      </c>
    </row>
    <row r="20" spans="1:6" ht="18" customHeight="1" x14ac:dyDescent="0.3">
      <c r="A20" s="401">
        <v>318</v>
      </c>
      <c r="B20" s="402" t="s">
        <v>215</v>
      </c>
      <c r="C20" s="401">
        <v>29</v>
      </c>
      <c r="D20" s="401">
        <v>6</v>
      </c>
      <c r="E20" s="401" t="s">
        <v>216</v>
      </c>
      <c r="F20" s="403" t="s">
        <v>743</v>
      </c>
    </row>
    <row r="21" spans="1:6" ht="18" customHeight="1" x14ac:dyDescent="0.3">
      <c r="A21" s="401">
        <v>319</v>
      </c>
      <c r="B21" s="402" t="s">
        <v>217</v>
      </c>
      <c r="C21" s="401">
        <v>10</v>
      </c>
      <c r="D21" s="401">
        <v>10</v>
      </c>
      <c r="E21" s="401" t="s">
        <v>195</v>
      </c>
      <c r="F21" s="403" t="s">
        <v>743</v>
      </c>
    </row>
    <row r="22" spans="1:6" ht="18" customHeight="1" x14ac:dyDescent="0.3">
      <c r="A22" s="401">
        <v>320</v>
      </c>
      <c r="B22" s="402" t="s">
        <v>218</v>
      </c>
      <c r="C22" s="401">
        <v>20</v>
      </c>
      <c r="D22" s="401">
        <v>12</v>
      </c>
      <c r="E22" s="401" t="s">
        <v>199</v>
      </c>
      <c r="F22" s="403" t="s">
        <v>743</v>
      </c>
    </row>
    <row r="23" spans="1:6" ht="18" customHeight="1" x14ac:dyDescent="0.3">
      <c r="A23" s="401">
        <v>321</v>
      </c>
      <c r="B23" s="402" t="s">
        <v>219</v>
      </c>
      <c r="C23" s="401">
        <v>13</v>
      </c>
      <c r="D23" s="401">
        <v>9</v>
      </c>
      <c r="E23" s="401" t="s">
        <v>199</v>
      </c>
      <c r="F23" s="403" t="s">
        <v>743</v>
      </c>
    </row>
    <row r="24" spans="1:6" ht="18" customHeight="1" x14ac:dyDescent="0.3">
      <c r="A24" s="401">
        <v>322</v>
      </c>
      <c r="B24" s="402" t="s">
        <v>220</v>
      </c>
      <c r="C24" s="401">
        <v>45</v>
      </c>
      <c r="D24" s="401">
        <v>8</v>
      </c>
      <c r="E24" s="401" t="s">
        <v>199</v>
      </c>
      <c r="F24" s="403" t="s">
        <v>743</v>
      </c>
    </row>
    <row r="25" spans="1:6" ht="18" customHeight="1" x14ac:dyDescent="0.3">
      <c r="A25" s="401">
        <v>323</v>
      </c>
      <c r="B25" s="402" t="s">
        <v>221</v>
      </c>
      <c r="C25" s="401">
        <v>42</v>
      </c>
      <c r="D25" s="401">
        <v>12</v>
      </c>
      <c r="E25" s="401" t="s">
        <v>195</v>
      </c>
      <c r="F25" s="403" t="s">
        <v>743</v>
      </c>
    </row>
    <row r="26" spans="1:6" ht="18" customHeight="1" x14ac:dyDescent="0.3">
      <c r="A26" s="404">
        <v>324</v>
      </c>
      <c r="B26" s="405" t="s">
        <v>222</v>
      </c>
      <c r="C26" s="404">
        <v>7</v>
      </c>
      <c r="D26" s="404">
        <v>8</v>
      </c>
      <c r="E26" s="404" t="s">
        <v>193</v>
      </c>
      <c r="F26" s="406" t="s">
        <v>744</v>
      </c>
    </row>
    <row r="27" spans="1:6" ht="18" customHeight="1" x14ac:dyDescent="0.3">
      <c r="A27" s="401">
        <v>325</v>
      </c>
      <c r="B27" s="402" t="s">
        <v>223</v>
      </c>
      <c r="C27" s="401">
        <v>16</v>
      </c>
      <c r="D27" s="401">
        <v>6</v>
      </c>
      <c r="E27" s="401" t="s">
        <v>197</v>
      </c>
      <c r="F27" s="403" t="s">
        <v>743</v>
      </c>
    </row>
    <row r="28" spans="1:6" ht="18" customHeight="1" x14ac:dyDescent="0.3">
      <c r="A28" s="401">
        <v>326</v>
      </c>
      <c r="B28" s="402" t="s">
        <v>224</v>
      </c>
      <c r="C28" s="401">
        <v>21</v>
      </c>
      <c r="D28" s="401">
        <v>15</v>
      </c>
      <c r="E28" s="401" t="s">
        <v>195</v>
      </c>
      <c r="F28" s="403" t="s">
        <v>743</v>
      </c>
    </row>
    <row r="29" spans="1:6" ht="18" customHeight="1" x14ac:dyDescent="0.3">
      <c r="A29" s="401">
        <v>327</v>
      </c>
      <c r="B29" s="402" t="s">
        <v>225</v>
      </c>
      <c r="C29" s="401">
        <v>34</v>
      </c>
      <c r="D29" s="401">
        <v>5</v>
      </c>
      <c r="E29" s="401" t="s">
        <v>195</v>
      </c>
      <c r="F29" s="403" t="s">
        <v>743</v>
      </c>
    </row>
    <row r="30" spans="1:6" ht="18" customHeight="1" x14ac:dyDescent="0.3">
      <c r="A30" s="401">
        <v>328</v>
      </c>
      <c r="B30" s="402" t="s">
        <v>226</v>
      </c>
      <c r="C30" s="401">
        <v>47</v>
      </c>
      <c r="D30" s="401">
        <v>14</v>
      </c>
      <c r="E30" s="401" t="s">
        <v>195</v>
      </c>
      <c r="F30" s="403" t="s">
        <v>743</v>
      </c>
    </row>
    <row r="31" spans="1:6" ht="18" customHeight="1" x14ac:dyDescent="0.3">
      <c r="A31" s="404">
        <v>329</v>
      </c>
      <c r="B31" s="405" t="s">
        <v>227</v>
      </c>
      <c r="C31" s="404">
        <v>10</v>
      </c>
      <c r="D31" s="404">
        <v>15</v>
      </c>
      <c r="E31" s="404" t="s">
        <v>197</v>
      </c>
      <c r="F31" s="406" t="s">
        <v>744</v>
      </c>
    </row>
    <row r="32" spans="1:6" ht="18" customHeight="1" x14ac:dyDescent="0.3">
      <c r="A32" s="401">
        <v>330</v>
      </c>
      <c r="B32" s="402" t="s">
        <v>228</v>
      </c>
      <c r="C32" s="401">
        <v>18</v>
      </c>
      <c r="D32" s="401">
        <v>7</v>
      </c>
      <c r="E32" s="401" t="s">
        <v>197</v>
      </c>
      <c r="F32" s="403" t="s">
        <v>743</v>
      </c>
    </row>
    <row r="33" spans="1:6" ht="18" customHeight="1" x14ac:dyDescent="0.3">
      <c r="A33" s="404">
        <v>331</v>
      </c>
      <c r="B33" s="405" t="s">
        <v>229</v>
      </c>
      <c r="C33" s="404">
        <v>4</v>
      </c>
      <c r="D33" s="404">
        <v>6</v>
      </c>
      <c r="E33" s="404" t="s">
        <v>197</v>
      </c>
      <c r="F33" s="406" t="s">
        <v>744</v>
      </c>
    </row>
    <row r="34" spans="1:6" ht="18" customHeight="1" x14ac:dyDescent="0.3">
      <c r="A34" s="401">
        <v>332</v>
      </c>
      <c r="B34" s="402" t="s">
        <v>230</v>
      </c>
      <c r="C34" s="401">
        <v>26</v>
      </c>
      <c r="D34" s="401">
        <v>5</v>
      </c>
      <c r="E34" s="401" t="s">
        <v>216</v>
      </c>
      <c r="F34" s="403" t="s">
        <v>743</v>
      </c>
    </row>
    <row r="35" spans="1:6" ht="18" customHeight="1" x14ac:dyDescent="0.3">
      <c r="A35" s="404">
        <v>333</v>
      </c>
      <c r="B35" s="405" t="s">
        <v>231</v>
      </c>
      <c r="C35" s="404">
        <v>1</v>
      </c>
      <c r="D35" s="404">
        <v>7</v>
      </c>
      <c r="E35" s="404" t="s">
        <v>195</v>
      </c>
      <c r="F35" s="406" t="s">
        <v>744</v>
      </c>
    </row>
    <row r="36" spans="1:6" ht="18" customHeight="1" x14ac:dyDescent="0.3">
      <c r="A36" s="401">
        <v>334</v>
      </c>
      <c r="B36" s="402" t="s">
        <v>232</v>
      </c>
      <c r="C36" s="401">
        <v>26</v>
      </c>
      <c r="D36" s="401">
        <v>11</v>
      </c>
      <c r="E36" s="401" t="s">
        <v>197</v>
      </c>
      <c r="F36" s="403" t="s">
        <v>743</v>
      </c>
    </row>
    <row r="37" spans="1:6" ht="18" customHeight="1" x14ac:dyDescent="0.3">
      <c r="A37" s="401">
        <v>335</v>
      </c>
      <c r="B37" s="402" t="s">
        <v>233</v>
      </c>
      <c r="C37" s="401">
        <v>15</v>
      </c>
      <c r="D37" s="401">
        <v>14</v>
      </c>
      <c r="E37" s="401" t="s">
        <v>193</v>
      </c>
      <c r="F37" s="403" t="s">
        <v>743</v>
      </c>
    </row>
    <row r="38" spans="1:6" ht="18" customHeight="1" x14ac:dyDescent="0.3">
      <c r="A38" s="401">
        <v>336</v>
      </c>
      <c r="B38" s="402" t="s">
        <v>234</v>
      </c>
      <c r="C38" s="401">
        <v>42</v>
      </c>
      <c r="D38" s="401">
        <v>8</v>
      </c>
      <c r="E38" s="401" t="s">
        <v>199</v>
      </c>
      <c r="F38" s="403" t="s">
        <v>743</v>
      </c>
    </row>
    <row r="39" spans="1:6" ht="18" customHeight="1" x14ac:dyDescent="0.3">
      <c r="A39" s="401">
        <v>337</v>
      </c>
      <c r="B39" s="402" t="s">
        <v>235</v>
      </c>
      <c r="C39" s="401">
        <v>37</v>
      </c>
      <c r="D39" s="401">
        <v>9</v>
      </c>
      <c r="E39" s="401" t="s">
        <v>201</v>
      </c>
      <c r="F39" s="403" t="s">
        <v>743</v>
      </c>
    </row>
    <row r="40" spans="1:6" ht="18" customHeight="1" x14ac:dyDescent="0.3">
      <c r="A40" s="401">
        <v>338</v>
      </c>
      <c r="B40" s="402" t="s">
        <v>236</v>
      </c>
      <c r="C40" s="401">
        <v>35</v>
      </c>
      <c r="D40" s="401">
        <v>8</v>
      </c>
      <c r="E40" s="401" t="s">
        <v>216</v>
      </c>
      <c r="F40" s="403" t="s">
        <v>743</v>
      </c>
    </row>
    <row r="41" spans="1:6" ht="18" customHeight="1" x14ac:dyDescent="0.3">
      <c r="A41" s="401">
        <v>339</v>
      </c>
      <c r="B41" s="402" t="s">
        <v>237</v>
      </c>
      <c r="C41" s="401">
        <v>50</v>
      </c>
      <c r="D41" s="401">
        <v>9</v>
      </c>
      <c r="E41" s="401" t="s">
        <v>199</v>
      </c>
      <c r="F41" s="403" t="s">
        <v>743</v>
      </c>
    </row>
  </sheetData>
  <conditionalFormatting sqref="C2:C41">
    <cfRule type="expression" dxfId="0" priority="1">
      <formula>C2&lt;D2</formula>
    </cfRule>
  </conditionalFormatting>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F6E9F-96C3-4BFF-AE32-89143175ED7A}">
  <sheetPr>
    <tabColor theme="4" tint="0.79998168889431442"/>
  </sheetPr>
  <dimension ref="B1:H74"/>
  <sheetViews>
    <sheetView showGridLines="0" workbookViewId="0">
      <pane xSplit="1" ySplit="9" topLeftCell="B10" activePane="bottomRight" state="frozen"/>
      <selection sqref="A1:I1"/>
      <selection pane="topRight" sqref="A1:I1"/>
      <selection pane="bottomLeft" sqref="A1:I1"/>
      <selection pane="bottomRight" activeCell="B10" sqref="B10"/>
    </sheetView>
  </sheetViews>
  <sheetFormatPr defaultRowHeight="14.4" x14ac:dyDescent="0.3"/>
  <cols>
    <col min="1" max="1" width="3" customWidth="1"/>
    <col min="2" max="7" width="15" customWidth="1"/>
    <col min="8" max="8" width="26" customWidth="1"/>
    <col min="9" max="9" width="3" customWidth="1"/>
  </cols>
  <sheetData>
    <row r="1" spans="2:8" ht="7.95" customHeight="1" x14ac:dyDescent="0.3"/>
    <row r="2" spans="2:8" ht="36" customHeight="1" x14ac:dyDescent="0.3">
      <c r="B2" s="737" t="s">
        <v>1201</v>
      </c>
      <c r="C2" s="708"/>
      <c r="D2" s="708"/>
      <c r="E2" s="708"/>
      <c r="F2" s="708"/>
      <c r="G2" s="708"/>
      <c r="H2" s="708"/>
    </row>
    <row r="3" spans="2:8" ht="7.95" customHeight="1" x14ac:dyDescent="0.3"/>
    <row r="4" spans="2:8" ht="12" customHeight="1" x14ac:dyDescent="0.3"/>
    <row r="5" spans="2:8" ht="28.05" customHeight="1" x14ac:dyDescent="0.3">
      <c r="B5" s="612" t="s">
        <v>745</v>
      </c>
      <c r="C5" s="613" t="s">
        <v>746</v>
      </c>
      <c r="D5" s="614" t="s">
        <v>1202</v>
      </c>
      <c r="E5" s="615" t="s">
        <v>1203</v>
      </c>
      <c r="F5" s="616" t="s">
        <v>1204</v>
      </c>
    </row>
    <row r="6" spans="2:8" ht="24" customHeight="1" x14ac:dyDescent="0.3">
      <c r="B6" s="617">
        <v>40</v>
      </c>
      <c r="C6" s="618">
        <v>11</v>
      </c>
      <c r="D6" s="619">
        <v>29</v>
      </c>
      <c r="E6" s="620">
        <v>66</v>
      </c>
      <c r="F6" s="621">
        <v>6</v>
      </c>
    </row>
    <row r="7" spans="2:8" ht="10.050000000000001" customHeight="1" x14ac:dyDescent="0.3"/>
    <row r="8" spans="2:8" ht="22.05" customHeight="1" x14ac:dyDescent="0.3">
      <c r="B8" s="738" t="s">
        <v>1205</v>
      </c>
      <c r="C8" s="739"/>
      <c r="D8" s="739"/>
      <c r="E8" s="739"/>
      <c r="F8" s="739"/>
      <c r="G8" s="739"/>
      <c r="H8" s="740"/>
    </row>
    <row r="9" spans="2:8" ht="19.95" customHeight="1" x14ac:dyDescent="0.3">
      <c r="B9" s="622" t="s">
        <v>747</v>
      </c>
      <c r="C9" s="622" t="s">
        <v>748</v>
      </c>
      <c r="D9" s="622" t="s">
        <v>749</v>
      </c>
      <c r="E9" s="622" t="s">
        <v>750</v>
      </c>
      <c r="F9" s="622" t="s">
        <v>191</v>
      </c>
      <c r="G9" s="622" t="s">
        <v>240</v>
      </c>
      <c r="H9" s="622" t="s">
        <v>751</v>
      </c>
    </row>
    <row r="10" spans="2:8" ht="16.05" customHeight="1" x14ac:dyDescent="0.3">
      <c r="B10" s="623">
        <v>300</v>
      </c>
      <c r="C10" s="624" t="s">
        <v>192</v>
      </c>
      <c r="D10" s="623">
        <v>35</v>
      </c>
      <c r="E10" s="623">
        <v>9</v>
      </c>
      <c r="F10" s="624" t="s">
        <v>193</v>
      </c>
      <c r="G10" s="625" t="s">
        <v>1206</v>
      </c>
      <c r="H10" s="623">
        <v>0</v>
      </c>
    </row>
    <row r="11" spans="2:8" ht="16.05" customHeight="1" x14ac:dyDescent="0.3">
      <c r="B11" s="626">
        <v>301</v>
      </c>
      <c r="C11" s="627" t="s">
        <v>194</v>
      </c>
      <c r="D11" s="626">
        <v>39</v>
      </c>
      <c r="E11" s="626">
        <v>10</v>
      </c>
      <c r="F11" s="627" t="s">
        <v>195</v>
      </c>
      <c r="G11" s="625" t="s">
        <v>1206</v>
      </c>
      <c r="H11" s="626">
        <v>0</v>
      </c>
    </row>
    <row r="12" spans="2:8" ht="16.05" customHeight="1" x14ac:dyDescent="0.3">
      <c r="B12" s="623">
        <v>302</v>
      </c>
      <c r="C12" s="624" t="s">
        <v>196</v>
      </c>
      <c r="D12" s="623">
        <v>22</v>
      </c>
      <c r="E12" s="623">
        <v>9</v>
      </c>
      <c r="F12" s="624" t="s">
        <v>197</v>
      </c>
      <c r="G12" s="625" t="s">
        <v>1206</v>
      </c>
      <c r="H12" s="623">
        <v>0</v>
      </c>
    </row>
    <row r="13" spans="2:8" ht="16.05" customHeight="1" x14ac:dyDescent="0.3">
      <c r="B13" s="628">
        <v>303</v>
      </c>
      <c r="C13" s="629" t="s">
        <v>198</v>
      </c>
      <c r="D13" s="628">
        <v>9</v>
      </c>
      <c r="E13" s="628">
        <v>14</v>
      </c>
      <c r="F13" s="629" t="s">
        <v>199</v>
      </c>
      <c r="G13" s="630" t="s">
        <v>1207</v>
      </c>
      <c r="H13" s="630">
        <v>5</v>
      </c>
    </row>
    <row r="14" spans="2:8" ht="16.05" customHeight="1" x14ac:dyDescent="0.3">
      <c r="B14" s="628">
        <v>304</v>
      </c>
      <c r="C14" s="629" t="s">
        <v>200</v>
      </c>
      <c r="D14" s="628">
        <v>5</v>
      </c>
      <c r="E14" s="628">
        <v>7</v>
      </c>
      <c r="F14" s="629" t="s">
        <v>201</v>
      </c>
      <c r="G14" s="630" t="s">
        <v>1207</v>
      </c>
      <c r="H14" s="630">
        <v>2</v>
      </c>
    </row>
    <row r="15" spans="2:8" ht="16.05" customHeight="1" x14ac:dyDescent="0.3">
      <c r="B15" s="628">
        <v>305</v>
      </c>
      <c r="C15" s="629" t="s">
        <v>202</v>
      </c>
      <c r="D15" s="628">
        <v>2</v>
      </c>
      <c r="E15" s="628">
        <v>14</v>
      </c>
      <c r="F15" s="629" t="s">
        <v>193</v>
      </c>
      <c r="G15" s="630" t="s">
        <v>1207</v>
      </c>
      <c r="H15" s="630">
        <v>12</v>
      </c>
    </row>
    <row r="16" spans="2:8" ht="16.05" customHeight="1" x14ac:dyDescent="0.3">
      <c r="B16" s="623">
        <v>306</v>
      </c>
      <c r="C16" s="624" t="s">
        <v>203</v>
      </c>
      <c r="D16" s="623">
        <v>33</v>
      </c>
      <c r="E16" s="623">
        <v>7</v>
      </c>
      <c r="F16" s="624" t="s">
        <v>199</v>
      </c>
      <c r="G16" s="625" t="s">
        <v>1206</v>
      </c>
      <c r="H16" s="623">
        <v>0</v>
      </c>
    </row>
    <row r="17" spans="2:8" ht="16.05" customHeight="1" x14ac:dyDescent="0.3">
      <c r="B17" s="626">
        <v>307</v>
      </c>
      <c r="C17" s="627" t="s">
        <v>204</v>
      </c>
      <c r="D17" s="626">
        <v>13</v>
      </c>
      <c r="E17" s="626">
        <v>7</v>
      </c>
      <c r="F17" s="627" t="s">
        <v>199</v>
      </c>
      <c r="G17" s="625" t="s">
        <v>1206</v>
      </c>
      <c r="H17" s="626">
        <v>0</v>
      </c>
    </row>
    <row r="18" spans="2:8" ht="16.05" customHeight="1" x14ac:dyDescent="0.3">
      <c r="B18" s="623">
        <v>308</v>
      </c>
      <c r="C18" s="624" t="s">
        <v>205</v>
      </c>
      <c r="D18" s="623">
        <v>39</v>
      </c>
      <c r="E18" s="623">
        <v>10</v>
      </c>
      <c r="F18" s="624" t="s">
        <v>195</v>
      </c>
      <c r="G18" s="625" t="s">
        <v>1206</v>
      </c>
      <c r="H18" s="623">
        <v>0</v>
      </c>
    </row>
    <row r="19" spans="2:8" ht="16.05" customHeight="1" x14ac:dyDescent="0.3">
      <c r="B19" s="626">
        <v>309</v>
      </c>
      <c r="C19" s="627" t="s">
        <v>206</v>
      </c>
      <c r="D19" s="626">
        <v>28</v>
      </c>
      <c r="E19" s="626">
        <v>6</v>
      </c>
      <c r="F19" s="627" t="s">
        <v>201</v>
      </c>
      <c r="G19" s="625" t="s">
        <v>1206</v>
      </c>
      <c r="H19" s="626">
        <v>0</v>
      </c>
    </row>
    <row r="20" spans="2:8" ht="16.05" customHeight="1" x14ac:dyDescent="0.3">
      <c r="B20" s="628">
        <v>310</v>
      </c>
      <c r="C20" s="629" t="s">
        <v>207</v>
      </c>
      <c r="D20" s="628">
        <v>7</v>
      </c>
      <c r="E20" s="628">
        <v>12</v>
      </c>
      <c r="F20" s="629" t="s">
        <v>195</v>
      </c>
      <c r="G20" s="630" t="s">
        <v>1207</v>
      </c>
      <c r="H20" s="630">
        <v>5</v>
      </c>
    </row>
    <row r="21" spans="2:8" ht="16.05" customHeight="1" x14ac:dyDescent="0.3">
      <c r="B21" s="626">
        <v>311</v>
      </c>
      <c r="C21" s="627" t="s">
        <v>208</v>
      </c>
      <c r="D21" s="626">
        <v>40</v>
      </c>
      <c r="E21" s="626">
        <v>11</v>
      </c>
      <c r="F21" s="627" t="s">
        <v>197</v>
      </c>
      <c r="G21" s="625" t="s">
        <v>1206</v>
      </c>
      <c r="H21" s="626">
        <v>0</v>
      </c>
    </row>
    <row r="22" spans="2:8" ht="16.05" customHeight="1" x14ac:dyDescent="0.3">
      <c r="B22" s="623">
        <v>312</v>
      </c>
      <c r="C22" s="624" t="s">
        <v>209</v>
      </c>
      <c r="D22" s="623">
        <v>12</v>
      </c>
      <c r="E22" s="623">
        <v>9</v>
      </c>
      <c r="F22" s="624" t="s">
        <v>199</v>
      </c>
      <c r="G22" s="625" t="s">
        <v>1206</v>
      </c>
      <c r="H22" s="623">
        <v>0</v>
      </c>
    </row>
    <row r="23" spans="2:8" ht="16.05" customHeight="1" x14ac:dyDescent="0.3">
      <c r="B23" s="628">
        <v>313</v>
      </c>
      <c r="C23" s="629" t="s">
        <v>210</v>
      </c>
      <c r="D23" s="628">
        <v>8</v>
      </c>
      <c r="E23" s="628">
        <v>14</v>
      </c>
      <c r="F23" s="629" t="s">
        <v>195</v>
      </c>
      <c r="G23" s="630" t="s">
        <v>1207</v>
      </c>
      <c r="H23" s="630">
        <v>6</v>
      </c>
    </row>
    <row r="24" spans="2:8" ht="16.05" customHeight="1" x14ac:dyDescent="0.3">
      <c r="B24" s="628">
        <v>314</v>
      </c>
      <c r="C24" s="629" t="s">
        <v>211</v>
      </c>
      <c r="D24" s="628">
        <v>2</v>
      </c>
      <c r="E24" s="628">
        <v>14</v>
      </c>
      <c r="F24" s="629" t="s">
        <v>197</v>
      </c>
      <c r="G24" s="630" t="s">
        <v>1207</v>
      </c>
      <c r="H24" s="630">
        <v>12</v>
      </c>
    </row>
    <row r="25" spans="2:8" ht="16.05" customHeight="1" x14ac:dyDescent="0.3">
      <c r="B25" s="626">
        <v>315</v>
      </c>
      <c r="C25" s="627" t="s">
        <v>212</v>
      </c>
      <c r="D25" s="626">
        <v>11</v>
      </c>
      <c r="E25" s="626">
        <v>8</v>
      </c>
      <c r="F25" s="627" t="s">
        <v>201</v>
      </c>
      <c r="G25" s="625" t="s">
        <v>1206</v>
      </c>
      <c r="H25" s="626">
        <v>0</v>
      </c>
    </row>
    <row r="26" spans="2:8" ht="16.05" customHeight="1" x14ac:dyDescent="0.3">
      <c r="B26" s="631">
        <v>316</v>
      </c>
      <c r="C26" s="632" t="s">
        <v>213</v>
      </c>
      <c r="D26" s="631">
        <v>10</v>
      </c>
      <c r="E26" s="631">
        <v>10</v>
      </c>
      <c r="F26" s="632" t="s">
        <v>195</v>
      </c>
      <c r="G26" s="625" t="s">
        <v>1206</v>
      </c>
      <c r="H26" s="631">
        <v>0</v>
      </c>
    </row>
    <row r="27" spans="2:8" ht="16.05" customHeight="1" x14ac:dyDescent="0.3">
      <c r="B27" s="628">
        <v>317</v>
      </c>
      <c r="C27" s="629" t="s">
        <v>214</v>
      </c>
      <c r="D27" s="628">
        <v>3</v>
      </c>
      <c r="E27" s="628">
        <v>13</v>
      </c>
      <c r="F27" s="629" t="s">
        <v>201</v>
      </c>
      <c r="G27" s="630" t="s">
        <v>1207</v>
      </c>
      <c r="H27" s="630">
        <v>10</v>
      </c>
    </row>
    <row r="28" spans="2:8" ht="16.05" customHeight="1" x14ac:dyDescent="0.3">
      <c r="B28" s="623">
        <v>318</v>
      </c>
      <c r="C28" s="624" t="s">
        <v>215</v>
      </c>
      <c r="D28" s="623">
        <v>29</v>
      </c>
      <c r="E28" s="623">
        <v>6</v>
      </c>
      <c r="F28" s="624" t="s">
        <v>216</v>
      </c>
      <c r="G28" s="625" t="s">
        <v>1206</v>
      </c>
      <c r="H28" s="623">
        <v>0</v>
      </c>
    </row>
    <row r="29" spans="2:8" ht="16.05" customHeight="1" x14ac:dyDescent="0.3">
      <c r="B29" s="631">
        <v>319</v>
      </c>
      <c r="C29" s="632" t="s">
        <v>217</v>
      </c>
      <c r="D29" s="631">
        <v>10</v>
      </c>
      <c r="E29" s="631">
        <v>10</v>
      </c>
      <c r="F29" s="632" t="s">
        <v>195</v>
      </c>
      <c r="G29" s="625" t="s">
        <v>1206</v>
      </c>
      <c r="H29" s="631">
        <v>0</v>
      </c>
    </row>
    <row r="30" spans="2:8" ht="16.05" customHeight="1" x14ac:dyDescent="0.3">
      <c r="B30" s="623">
        <v>320</v>
      </c>
      <c r="C30" s="624" t="s">
        <v>218</v>
      </c>
      <c r="D30" s="623">
        <v>20</v>
      </c>
      <c r="E30" s="623">
        <v>12</v>
      </c>
      <c r="F30" s="624" t="s">
        <v>199</v>
      </c>
      <c r="G30" s="625" t="s">
        <v>1206</v>
      </c>
      <c r="H30" s="623">
        <v>0</v>
      </c>
    </row>
    <row r="31" spans="2:8" ht="16.05" customHeight="1" x14ac:dyDescent="0.3">
      <c r="B31" s="626">
        <v>321</v>
      </c>
      <c r="C31" s="627" t="s">
        <v>219</v>
      </c>
      <c r="D31" s="626">
        <v>13</v>
      </c>
      <c r="E31" s="626">
        <v>9</v>
      </c>
      <c r="F31" s="627" t="s">
        <v>199</v>
      </c>
      <c r="G31" s="625" t="s">
        <v>1206</v>
      </c>
      <c r="H31" s="626">
        <v>0</v>
      </c>
    </row>
    <row r="32" spans="2:8" ht="16.05" customHeight="1" x14ac:dyDescent="0.3">
      <c r="B32" s="623">
        <v>322</v>
      </c>
      <c r="C32" s="624" t="s">
        <v>220</v>
      </c>
      <c r="D32" s="623">
        <v>45</v>
      </c>
      <c r="E32" s="623">
        <v>8</v>
      </c>
      <c r="F32" s="624" t="s">
        <v>199</v>
      </c>
      <c r="G32" s="625" t="s">
        <v>1206</v>
      </c>
      <c r="H32" s="623">
        <v>0</v>
      </c>
    </row>
    <row r="33" spans="2:8" ht="16.05" customHeight="1" x14ac:dyDescent="0.3">
      <c r="B33" s="626">
        <v>323</v>
      </c>
      <c r="C33" s="627" t="s">
        <v>221</v>
      </c>
      <c r="D33" s="626">
        <v>42</v>
      </c>
      <c r="E33" s="626">
        <v>12</v>
      </c>
      <c r="F33" s="627" t="s">
        <v>195</v>
      </c>
      <c r="G33" s="625" t="s">
        <v>1206</v>
      </c>
      <c r="H33" s="626">
        <v>0</v>
      </c>
    </row>
    <row r="34" spans="2:8" ht="16.05" customHeight="1" x14ac:dyDescent="0.3">
      <c r="B34" s="628">
        <v>324</v>
      </c>
      <c r="C34" s="629" t="s">
        <v>222</v>
      </c>
      <c r="D34" s="628">
        <v>7</v>
      </c>
      <c r="E34" s="628">
        <v>8</v>
      </c>
      <c r="F34" s="629" t="s">
        <v>193</v>
      </c>
      <c r="G34" s="630" t="s">
        <v>1207</v>
      </c>
      <c r="H34" s="630">
        <v>1</v>
      </c>
    </row>
    <row r="35" spans="2:8" ht="16.05" customHeight="1" x14ac:dyDescent="0.3">
      <c r="B35" s="626">
        <v>325</v>
      </c>
      <c r="C35" s="627" t="s">
        <v>223</v>
      </c>
      <c r="D35" s="626">
        <v>16</v>
      </c>
      <c r="E35" s="626">
        <v>6</v>
      </c>
      <c r="F35" s="627" t="s">
        <v>197</v>
      </c>
      <c r="G35" s="625" t="s">
        <v>1206</v>
      </c>
      <c r="H35" s="626">
        <v>0</v>
      </c>
    </row>
    <row r="36" spans="2:8" ht="16.05" customHeight="1" x14ac:dyDescent="0.3">
      <c r="B36" s="623">
        <v>326</v>
      </c>
      <c r="C36" s="624" t="s">
        <v>224</v>
      </c>
      <c r="D36" s="623">
        <v>21</v>
      </c>
      <c r="E36" s="623">
        <v>15</v>
      </c>
      <c r="F36" s="624" t="s">
        <v>195</v>
      </c>
      <c r="G36" s="625" t="s">
        <v>1206</v>
      </c>
      <c r="H36" s="623">
        <v>0</v>
      </c>
    </row>
    <row r="37" spans="2:8" ht="16.05" customHeight="1" x14ac:dyDescent="0.3">
      <c r="B37" s="626">
        <v>327</v>
      </c>
      <c r="C37" s="627" t="s">
        <v>225</v>
      </c>
      <c r="D37" s="626">
        <v>34</v>
      </c>
      <c r="E37" s="626">
        <v>5</v>
      </c>
      <c r="F37" s="627" t="s">
        <v>195</v>
      </c>
      <c r="G37" s="625" t="s">
        <v>1206</v>
      </c>
      <c r="H37" s="626">
        <v>0</v>
      </c>
    </row>
    <row r="38" spans="2:8" ht="16.05" customHeight="1" x14ac:dyDescent="0.3">
      <c r="B38" s="623">
        <v>328</v>
      </c>
      <c r="C38" s="624" t="s">
        <v>226</v>
      </c>
      <c r="D38" s="623">
        <v>47</v>
      </c>
      <c r="E38" s="623">
        <v>14</v>
      </c>
      <c r="F38" s="624" t="s">
        <v>195</v>
      </c>
      <c r="G38" s="625" t="s">
        <v>1206</v>
      </c>
      <c r="H38" s="623">
        <v>0</v>
      </c>
    </row>
    <row r="39" spans="2:8" ht="16.05" customHeight="1" x14ac:dyDescent="0.3">
      <c r="B39" s="628">
        <v>329</v>
      </c>
      <c r="C39" s="629" t="s">
        <v>227</v>
      </c>
      <c r="D39" s="628">
        <v>10</v>
      </c>
      <c r="E39" s="628">
        <v>15</v>
      </c>
      <c r="F39" s="629" t="s">
        <v>197</v>
      </c>
      <c r="G39" s="630" t="s">
        <v>1207</v>
      </c>
      <c r="H39" s="630">
        <v>5</v>
      </c>
    </row>
    <row r="40" spans="2:8" ht="16.05" customHeight="1" x14ac:dyDescent="0.3">
      <c r="B40" s="623">
        <v>330</v>
      </c>
      <c r="C40" s="624" t="s">
        <v>228</v>
      </c>
      <c r="D40" s="623">
        <v>18</v>
      </c>
      <c r="E40" s="623">
        <v>7</v>
      </c>
      <c r="F40" s="624" t="s">
        <v>197</v>
      </c>
      <c r="G40" s="625" t="s">
        <v>1206</v>
      </c>
      <c r="H40" s="623">
        <v>0</v>
      </c>
    </row>
    <row r="41" spans="2:8" ht="16.05" customHeight="1" x14ac:dyDescent="0.3">
      <c r="B41" s="628">
        <v>331</v>
      </c>
      <c r="C41" s="629" t="s">
        <v>229</v>
      </c>
      <c r="D41" s="628">
        <v>4</v>
      </c>
      <c r="E41" s="628">
        <v>6</v>
      </c>
      <c r="F41" s="629" t="s">
        <v>197</v>
      </c>
      <c r="G41" s="630" t="s">
        <v>1207</v>
      </c>
      <c r="H41" s="630">
        <v>2</v>
      </c>
    </row>
    <row r="42" spans="2:8" ht="16.05" customHeight="1" x14ac:dyDescent="0.3">
      <c r="B42" s="623">
        <v>332</v>
      </c>
      <c r="C42" s="624" t="s">
        <v>230</v>
      </c>
      <c r="D42" s="623">
        <v>26</v>
      </c>
      <c r="E42" s="623">
        <v>5</v>
      </c>
      <c r="F42" s="624" t="s">
        <v>216</v>
      </c>
      <c r="G42" s="625" t="s">
        <v>1206</v>
      </c>
      <c r="H42" s="623">
        <v>0</v>
      </c>
    </row>
    <row r="43" spans="2:8" ht="16.05" customHeight="1" x14ac:dyDescent="0.3">
      <c r="B43" s="628">
        <v>333</v>
      </c>
      <c r="C43" s="629" t="s">
        <v>231</v>
      </c>
      <c r="D43" s="628">
        <v>1</v>
      </c>
      <c r="E43" s="628">
        <v>7</v>
      </c>
      <c r="F43" s="629" t="s">
        <v>195</v>
      </c>
      <c r="G43" s="630" t="s">
        <v>1207</v>
      </c>
      <c r="H43" s="630">
        <v>6</v>
      </c>
    </row>
    <row r="44" spans="2:8" ht="16.05" customHeight="1" x14ac:dyDescent="0.3">
      <c r="B44" s="623">
        <v>334</v>
      </c>
      <c r="C44" s="624" t="s">
        <v>232</v>
      </c>
      <c r="D44" s="623">
        <v>26</v>
      </c>
      <c r="E44" s="623">
        <v>11</v>
      </c>
      <c r="F44" s="624" t="s">
        <v>197</v>
      </c>
      <c r="G44" s="625" t="s">
        <v>1206</v>
      </c>
      <c r="H44" s="623">
        <v>0</v>
      </c>
    </row>
    <row r="45" spans="2:8" ht="16.05" customHeight="1" x14ac:dyDescent="0.3">
      <c r="B45" s="626">
        <v>335</v>
      </c>
      <c r="C45" s="627" t="s">
        <v>233</v>
      </c>
      <c r="D45" s="626">
        <v>15</v>
      </c>
      <c r="E45" s="626">
        <v>14</v>
      </c>
      <c r="F45" s="627" t="s">
        <v>193</v>
      </c>
      <c r="G45" s="625" t="s">
        <v>1206</v>
      </c>
      <c r="H45" s="626">
        <v>0</v>
      </c>
    </row>
    <row r="46" spans="2:8" ht="16.05" customHeight="1" x14ac:dyDescent="0.3">
      <c r="B46" s="623">
        <v>336</v>
      </c>
      <c r="C46" s="624" t="s">
        <v>234</v>
      </c>
      <c r="D46" s="623">
        <v>42</v>
      </c>
      <c r="E46" s="623">
        <v>8</v>
      </c>
      <c r="F46" s="624" t="s">
        <v>199</v>
      </c>
      <c r="G46" s="625" t="s">
        <v>1206</v>
      </c>
      <c r="H46" s="623">
        <v>0</v>
      </c>
    </row>
    <row r="47" spans="2:8" ht="16.05" customHeight="1" x14ac:dyDescent="0.3">
      <c r="B47" s="626">
        <v>337</v>
      </c>
      <c r="C47" s="627" t="s">
        <v>235</v>
      </c>
      <c r="D47" s="626">
        <v>37</v>
      </c>
      <c r="E47" s="626">
        <v>9</v>
      </c>
      <c r="F47" s="627" t="s">
        <v>201</v>
      </c>
      <c r="G47" s="625" t="s">
        <v>1206</v>
      </c>
      <c r="H47" s="626">
        <v>0</v>
      </c>
    </row>
    <row r="48" spans="2:8" ht="16.05" customHeight="1" x14ac:dyDescent="0.3">
      <c r="B48" s="623">
        <v>338</v>
      </c>
      <c r="C48" s="624" t="s">
        <v>236</v>
      </c>
      <c r="D48" s="623">
        <v>35</v>
      </c>
      <c r="E48" s="623">
        <v>8</v>
      </c>
      <c r="F48" s="624" t="s">
        <v>216</v>
      </c>
      <c r="G48" s="625" t="s">
        <v>1206</v>
      </c>
      <c r="H48" s="623">
        <v>0</v>
      </c>
    </row>
    <row r="49" spans="2:8" ht="16.05" customHeight="1" x14ac:dyDescent="0.3">
      <c r="B49" s="626">
        <v>339</v>
      </c>
      <c r="C49" s="627" t="s">
        <v>237</v>
      </c>
      <c r="D49" s="626">
        <v>50</v>
      </c>
      <c r="E49" s="626">
        <v>9</v>
      </c>
      <c r="F49" s="627" t="s">
        <v>199</v>
      </c>
      <c r="G49" s="625" t="s">
        <v>1206</v>
      </c>
      <c r="H49" s="626">
        <v>0</v>
      </c>
    </row>
    <row r="51" spans="2:8" ht="22.05" customHeight="1" x14ac:dyDescent="0.3">
      <c r="B51" s="741" t="s">
        <v>1208</v>
      </c>
      <c r="C51" s="739"/>
      <c r="D51" s="739"/>
      <c r="E51" s="739"/>
      <c r="F51" s="739"/>
      <c r="G51" s="739"/>
      <c r="H51" s="740"/>
    </row>
    <row r="52" spans="2:8" ht="19.95" customHeight="1" x14ac:dyDescent="0.3">
      <c r="B52" s="633" t="s">
        <v>747</v>
      </c>
      <c r="C52" s="633" t="s">
        <v>748</v>
      </c>
      <c r="D52" s="633" t="s">
        <v>749</v>
      </c>
      <c r="E52" s="633" t="s">
        <v>750</v>
      </c>
      <c r="F52" s="633" t="s">
        <v>191</v>
      </c>
      <c r="G52" s="633" t="s">
        <v>751</v>
      </c>
      <c r="H52" s="633" t="s">
        <v>752</v>
      </c>
    </row>
    <row r="53" spans="2:8" ht="16.05" customHeight="1" x14ac:dyDescent="0.3">
      <c r="B53" s="628">
        <v>305</v>
      </c>
      <c r="C53" s="629" t="s">
        <v>202</v>
      </c>
      <c r="D53" s="628">
        <v>2</v>
      </c>
      <c r="E53" s="628">
        <v>14</v>
      </c>
      <c r="F53" s="629" t="s">
        <v>193</v>
      </c>
      <c r="G53" s="628">
        <v>12</v>
      </c>
      <c r="H53" s="634" t="s">
        <v>1209</v>
      </c>
    </row>
    <row r="54" spans="2:8" ht="16.05" customHeight="1" x14ac:dyDescent="0.3">
      <c r="B54" s="635">
        <v>314</v>
      </c>
      <c r="C54" s="636" t="s">
        <v>211</v>
      </c>
      <c r="D54" s="635">
        <v>2</v>
      </c>
      <c r="E54" s="635">
        <v>14</v>
      </c>
      <c r="F54" s="636" t="s">
        <v>197</v>
      </c>
      <c r="G54" s="635">
        <v>12</v>
      </c>
      <c r="H54" s="637" t="s">
        <v>1210</v>
      </c>
    </row>
    <row r="55" spans="2:8" ht="16.05" customHeight="1" x14ac:dyDescent="0.3">
      <c r="B55" s="628">
        <v>317</v>
      </c>
      <c r="C55" s="629" t="s">
        <v>214</v>
      </c>
      <c r="D55" s="628">
        <v>3</v>
      </c>
      <c r="E55" s="628">
        <v>13</v>
      </c>
      <c r="F55" s="629" t="s">
        <v>201</v>
      </c>
      <c r="G55" s="628">
        <v>10</v>
      </c>
      <c r="H55" s="634" t="s">
        <v>1211</v>
      </c>
    </row>
    <row r="56" spans="2:8" ht="16.05" customHeight="1" x14ac:dyDescent="0.3">
      <c r="B56" s="635">
        <v>313</v>
      </c>
      <c r="C56" s="636" t="s">
        <v>210</v>
      </c>
      <c r="D56" s="635">
        <v>8</v>
      </c>
      <c r="E56" s="635">
        <v>14</v>
      </c>
      <c r="F56" s="636" t="s">
        <v>195</v>
      </c>
      <c r="G56" s="635">
        <v>6</v>
      </c>
      <c r="H56" s="637" t="s">
        <v>1212</v>
      </c>
    </row>
    <row r="57" spans="2:8" ht="16.05" customHeight="1" x14ac:dyDescent="0.3">
      <c r="B57" s="628">
        <v>333</v>
      </c>
      <c r="C57" s="629" t="s">
        <v>231</v>
      </c>
      <c r="D57" s="628">
        <v>1</v>
      </c>
      <c r="E57" s="628">
        <v>7</v>
      </c>
      <c r="F57" s="629" t="s">
        <v>195</v>
      </c>
      <c r="G57" s="628">
        <v>6</v>
      </c>
      <c r="H57" s="634" t="s">
        <v>1212</v>
      </c>
    </row>
    <row r="58" spans="2:8" ht="16.05" customHeight="1" x14ac:dyDescent="0.3">
      <c r="B58" s="635">
        <v>310</v>
      </c>
      <c r="C58" s="636" t="s">
        <v>207</v>
      </c>
      <c r="D58" s="635">
        <v>7</v>
      </c>
      <c r="E58" s="635">
        <v>12</v>
      </c>
      <c r="F58" s="636" t="s">
        <v>195</v>
      </c>
      <c r="G58" s="635">
        <v>5</v>
      </c>
      <c r="H58" s="637" t="s">
        <v>1213</v>
      </c>
    </row>
    <row r="59" spans="2:8" ht="16.05" customHeight="1" x14ac:dyDescent="0.3">
      <c r="B59" s="628">
        <v>303</v>
      </c>
      <c r="C59" s="629" t="s">
        <v>198</v>
      </c>
      <c r="D59" s="628">
        <v>9</v>
      </c>
      <c r="E59" s="628">
        <v>14</v>
      </c>
      <c r="F59" s="629" t="s">
        <v>199</v>
      </c>
      <c r="G59" s="628">
        <v>5</v>
      </c>
      <c r="H59" s="634" t="s">
        <v>1214</v>
      </c>
    </row>
    <row r="60" spans="2:8" ht="16.05" customHeight="1" x14ac:dyDescent="0.3">
      <c r="B60" s="635">
        <v>329</v>
      </c>
      <c r="C60" s="636" t="s">
        <v>227</v>
      </c>
      <c r="D60" s="635">
        <v>10</v>
      </c>
      <c r="E60" s="635">
        <v>15</v>
      </c>
      <c r="F60" s="636" t="s">
        <v>197</v>
      </c>
      <c r="G60" s="635">
        <v>5</v>
      </c>
      <c r="H60" s="637" t="s">
        <v>1215</v>
      </c>
    </row>
    <row r="61" spans="2:8" ht="16.05" customHeight="1" x14ac:dyDescent="0.3">
      <c r="B61" s="628">
        <v>304</v>
      </c>
      <c r="C61" s="629" t="s">
        <v>200</v>
      </c>
      <c r="D61" s="628">
        <v>5</v>
      </c>
      <c r="E61" s="628">
        <v>7</v>
      </c>
      <c r="F61" s="629" t="s">
        <v>201</v>
      </c>
      <c r="G61" s="628">
        <v>2</v>
      </c>
      <c r="H61" s="634" t="s">
        <v>1216</v>
      </c>
    </row>
    <row r="62" spans="2:8" ht="16.05" customHeight="1" x14ac:dyDescent="0.3">
      <c r="B62" s="635">
        <v>331</v>
      </c>
      <c r="C62" s="636" t="s">
        <v>229</v>
      </c>
      <c r="D62" s="635">
        <v>4</v>
      </c>
      <c r="E62" s="635">
        <v>6</v>
      </c>
      <c r="F62" s="636" t="s">
        <v>197</v>
      </c>
      <c r="G62" s="635">
        <v>2</v>
      </c>
      <c r="H62" s="637" t="s">
        <v>1217</v>
      </c>
    </row>
    <row r="63" spans="2:8" ht="16.05" customHeight="1" x14ac:dyDescent="0.3">
      <c r="B63" s="628">
        <v>324</v>
      </c>
      <c r="C63" s="629" t="s">
        <v>222</v>
      </c>
      <c r="D63" s="628">
        <v>7</v>
      </c>
      <c r="E63" s="628">
        <v>8</v>
      </c>
      <c r="F63" s="629" t="s">
        <v>193</v>
      </c>
      <c r="G63" s="628">
        <v>1</v>
      </c>
      <c r="H63" s="634" t="s">
        <v>1218</v>
      </c>
    </row>
    <row r="65" spans="2:8" ht="22.05" customHeight="1" x14ac:dyDescent="0.3">
      <c r="B65" s="742" t="s">
        <v>1219</v>
      </c>
      <c r="C65" s="739"/>
      <c r="D65" s="739"/>
      <c r="E65" s="739"/>
      <c r="F65" s="739"/>
      <c r="G65" s="739"/>
      <c r="H65" s="740"/>
    </row>
    <row r="66" spans="2:8" ht="19.95" customHeight="1" x14ac:dyDescent="0.3">
      <c r="B66" s="638" t="s">
        <v>191</v>
      </c>
      <c r="C66" s="638" t="s">
        <v>745</v>
      </c>
      <c r="D66" s="638" t="s">
        <v>746</v>
      </c>
      <c r="E66" s="638" t="s">
        <v>1220</v>
      </c>
      <c r="F66" s="638" t="s">
        <v>1221</v>
      </c>
    </row>
    <row r="67" spans="2:8" ht="16.05" customHeight="1" x14ac:dyDescent="0.3">
      <c r="B67" s="624" t="s">
        <v>216</v>
      </c>
      <c r="C67" s="623">
        <v>3</v>
      </c>
      <c r="D67" s="625">
        <v>0</v>
      </c>
      <c r="E67" s="623">
        <v>30</v>
      </c>
      <c r="F67" s="639">
        <v>0</v>
      </c>
    </row>
    <row r="68" spans="2:8" ht="16.05" customHeight="1" x14ac:dyDescent="0.3">
      <c r="B68" s="627" t="s">
        <v>195</v>
      </c>
      <c r="C68" s="626">
        <v>11</v>
      </c>
      <c r="D68" s="630">
        <v>3</v>
      </c>
      <c r="E68" s="626">
        <v>23.5</v>
      </c>
      <c r="F68" s="639">
        <v>0.27272727272727271</v>
      </c>
    </row>
    <row r="69" spans="2:8" ht="16.05" customHeight="1" x14ac:dyDescent="0.3">
      <c r="B69" s="624" t="s">
        <v>197</v>
      </c>
      <c r="C69" s="623">
        <v>8</v>
      </c>
      <c r="D69" s="630">
        <v>3</v>
      </c>
      <c r="E69" s="623">
        <v>17.2</v>
      </c>
      <c r="F69" s="640">
        <v>0.375</v>
      </c>
    </row>
    <row r="70" spans="2:8" ht="16.05" customHeight="1" x14ac:dyDescent="0.3">
      <c r="B70" s="627" t="s">
        <v>193</v>
      </c>
      <c r="C70" s="626">
        <v>4</v>
      </c>
      <c r="D70" s="630">
        <v>2</v>
      </c>
      <c r="E70" s="626">
        <v>14.8</v>
      </c>
      <c r="F70" s="640">
        <v>0.5</v>
      </c>
    </row>
    <row r="71" spans="2:8" ht="16.05" customHeight="1" x14ac:dyDescent="0.3">
      <c r="B71" s="624" t="s">
        <v>201</v>
      </c>
      <c r="C71" s="623">
        <v>5</v>
      </c>
      <c r="D71" s="630">
        <v>2</v>
      </c>
      <c r="E71" s="623">
        <v>16.8</v>
      </c>
      <c r="F71" s="640">
        <v>0.4</v>
      </c>
    </row>
    <row r="72" spans="2:8" ht="16.05" customHeight="1" x14ac:dyDescent="0.3">
      <c r="B72" s="627" t="s">
        <v>199</v>
      </c>
      <c r="C72" s="626">
        <v>9</v>
      </c>
      <c r="D72" s="630">
        <v>1</v>
      </c>
      <c r="E72" s="626">
        <v>26.3</v>
      </c>
      <c r="F72" s="639">
        <v>0.1111111111111111</v>
      </c>
    </row>
    <row r="74" spans="2:8" ht="18" customHeight="1" x14ac:dyDescent="0.3">
      <c r="B74" s="641" t="s">
        <v>561</v>
      </c>
      <c r="C74" s="613" t="s">
        <v>1207</v>
      </c>
      <c r="D74" s="615" t="s">
        <v>1222</v>
      </c>
      <c r="E74" s="614" t="s">
        <v>1223</v>
      </c>
    </row>
  </sheetData>
  <mergeCells count="4">
    <mergeCell ref="B2:H2"/>
    <mergeCell ref="B8:H8"/>
    <mergeCell ref="B51:H51"/>
    <mergeCell ref="B65:H65"/>
  </mergeCells>
  <conditionalFormatting sqref="D10:D49">
    <cfRule type="dataBar" priority="1">
      <dataBar>
        <cfvo type="num" val="0"/>
        <cfvo type="num" val="50"/>
        <color rgb="FF2E75B6"/>
      </dataBar>
    </cfRule>
  </conditionalFormatting>
  <conditionalFormatting sqref="F53:F63">
    <cfRule type="colorScale" priority="3">
      <colorScale>
        <cfvo type="min"/>
        <cfvo type="max"/>
        <color rgb="FFFFE0E0"/>
        <color rgb="FFC00000"/>
      </colorScale>
    </cfRule>
  </conditionalFormatting>
  <conditionalFormatting sqref="F67:F72">
    <cfRule type="colorScale" priority="4">
      <colorScale>
        <cfvo type="min"/>
        <cfvo type="percentile" val="50"/>
        <cfvo type="max"/>
        <color rgb="FFE2EFDA"/>
        <color rgb="FFFFEB9C"/>
        <color rgb="FFC00000"/>
      </colorScale>
    </cfRule>
  </conditionalFormatting>
  <conditionalFormatting sqref="H10:H49">
    <cfRule type="colorScale" priority="2">
      <colorScale>
        <cfvo type="min"/>
        <cfvo type="max"/>
        <color rgb="FFFFFFFF"/>
        <color rgb="FFC00000"/>
      </colorScale>
    </cfRule>
  </conditionalFormatting>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A1:E41"/>
  <sheetViews>
    <sheetView workbookViewId="0"/>
  </sheetViews>
  <sheetFormatPr defaultRowHeight="14.4" x14ac:dyDescent="0.3"/>
  <cols>
    <col min="1" max="5" width="22.6640625" customWidth="1"/>
  </cols>
  <sheetData>
    <row r="1" spans="1:5" x14ac:dyDescent="0.3">
      <c r="A1" t="s">
        <v>1</v>
      </c>
      <c r="B1" t="s">
        <v>238</v>
      </c>
      <c r="C1" t="s">
        <v>239</v>
      </c>
      <c r="D1" t="s">
        <v>240</v>
      </c>
      <c r="E1" t="s">
        <v>241</v>
      </c>
    </row>
    <row r="2" spans="1:5" x14ac:dyDescent="0.3">
      <c r="A2" t="s">
        <v>242</v>
      </c>
      <c r="B2" t="s">
        <v>243</v>
      </c>
      <c r="C2" s="1">
        <v>46023</v>
      </c>
      <c r="D2" t="s">
        <v>244</v>
      </c>
      <c r="E2" s="1">
        <v>46030</v>
      </c>
    </row>
    <row r="3" spans="1:5" x14ac:dyDescent="0.3">
      <c r="A3" t="s">
        <v>245</v>
      </c>
      <c r="B3" t="s">
        <v>246</v>
      </c>
      <c r="C3" s="1">
        <v>46024</v>
      </c>
      <c r="D3" t="s">
        <v>247</v>
      </c>
      <c r="E3" s="1">
        <v>46031</v>
      </c>
    </row>
    <row r="4" spans="1:5" x14ac:dyDescent="0.3">
      <c r="A4" t="s">
        <v>248</v>
      </c>
      <c r="B4" t="s">
        <v>249</v>
      </c>
      <c r="C4" s="1">
        <v>46025</v>
      </c>
      <c r="D4" t="s">
        <v>244</v>
      </c>
      <c r="E4" s="1">
        <v>46032</v>
      </c>
    </row>
    <row r="5" spans="1:5" x14ac:dyDescent="0.3">
      <c r="A5" t="s">
        <v>245</v>
      </c>
      <c r="B5" t="s">
        <v>250</v>
      </c>
      <c r="C5" s="1">
        <v>46026</v>
      </c>
      <c r="D5" t="s">
        <v>244</v>
      </c>
      <c r="E5" s="1">
        <v>46033</v>
      </c>
    </row>
    <row r="6" spans="1:5" x14ac:dyDescent="0.3">
      <c r="A6" t="s">
        <v>48</v>
      </c>
      <c r="B6" t="s">
        <v>251</v>
      </c>
      <c r="C6" s="1">
        <v>46027</v>
      </c>
      <c r="D6" t="s">
        <v>252</v>
      </c>
      <c r="E6" s="1">
        <v>46034</v>
      </c>
    </row>
    <row r="7" spans="1:5" x14ac:dyDescent="0.3">
      <c r="A7" t="s">
        <v>74</v>
      </c>
      <c r="B7" t="s">
        <v>253</v>
      </c>
      <c r="C7" s="1">
        <v>46028</v>
      </c>
      <c r="D7" t="s">
        <v>254</v>
      </c>
      <c r="E7" s="1">
        <v>46035</v>
      </c>
    </row>
    <row r="8" spans="1:5" x14ac:dyDescent="0.3">
      <c r="A8" t="s">
        <v>248</v>
      </c>
      <c r="B8" t="s">
        <v>255</v>
      </c>
      <c r="C8" s="1">
        <v>46029</v>
      </c>
      <c r="D8" t="s">
        <v>252</v>
      </c>
      <c r="E8" s="1">
        <v>46036</v>
      </c>
    </row>
    <row r="9" spans="1:5" x14ac:dyDescent="0.3">
      <c r="A9" t="s">
        <v>256</v>
      </c>
      <c r="B9" t="s">
        <v>257</v>
      </c>
      <c r="C9" s="1">
        <v>46030</v>
      </c>
      <c r="D9" t="s">
        <v>252</v>
      </c>
      <c r="E9" s="1">
        <v>46037</v>
      </c>
    </row>
    <row r="10" spans="1:5" x14ac:dyDescent="0.3">
      <c r="A10" t="s">
        <v>258</v>
      </c>
      <c r="B10" t="s">
        <v>259</v>
      </c>
      <c r="C10" s="1">
        <v>46031</v>
      </c>
      <c r="D10" t="s">
        <v>244</v>
      </c>
      <c r="E10" s="1">
        <v>46038</v>
      </c>
    </row>
    <row r="11" spans="1:5" x14ac:dyDescent="0.3">
      <c r="A11" t="s">
        <v>260</v>
      </c>
      <c r="B11" t="s">
        <v>261</v>
      </c>
      <c r="C11" s="1">
        <v>46032</v>
      </c>
      <c r="D11" t="s">
        <v>252</v>
      </c>
      <c r="E11" s="1">
        <v>46039</v>
      </c>
    </row>
    <row r="12" spans="1:5" x14ac:dyDescent="0.3">
      <c r="A12" t="s">
        <v>262</v>
      </c>
      <c r="B12" t="s">
        <v>263</v>
      </c>
      <c r="C12" s="1">
        <v>46033</v>
      </c>
      <c r="D12" t="s">
        <v>244</v>
      </c>
      <c r="E12" s="1">
        <v>46040</v>
      </c>
    </row>
    <row r="13" spans="1:5" x14ac:dyDescent="0.3">
      <c r="A13" t="s">
        <v>264</v>
      </c>
      <c r="B13" t="s">
        <v>265</v>
      </c>
      <c r="C13" s="1">
        <v>46034</v>
      </c>
      <c r="D13" t="s">
        <v>247</v>
      </c>
      <c r="E13" s="1">
        <v>46041</v>
      </c>
    </row>
    <row r="14" spans="1:5" x14ac:dyDescent="0.3">
      <c r="A14" t="s">
        <v>266</v>
      </c>
      <c r="B14" t="s">
        <v>267</v>
      </c>
      <c r="C14" s="1">
        <v>46035</v>
      </c>
      <c r="D14" t="s">
        <v>247</v>
      </c>
      <c r="E14" s="1">
        <v>46042</v>
      </c>
    </row>
    <row r="15" spans="1:5" x14ac:dyDescent="0.3">
      <c r="A15" t="s">
        <v>260</v>
      </c>
      <c r="B15" t="s">
        <v>268</v>
      </c>
      <c r="C15" s="1">
        <v>46036</v>
      </c>
      <c r="D15" t="s">
        <v>254</v>
      </c>
      <c r="E15" s="1">
        <v>46043</v>
      </c>
    </row>
    <row r="16" spans="1:5" x14ac:dyDescent="0.3">
      <c r="A16" t="s">
        <v>256</v>
      </c>
      <c r="B16" t="s">
        <v>269</v>
      </c>
      <c r="C16" s="1">
        <v>46037</v>
      </c>
      <c r="D16" t="s">
        <v>247</v>
      </c>
      <c r="E16" s="1">
        <v>46044</v>
      </c>
    </row>
    <row r="17" spans="1:5" x14ac:dyDescent="0.3">
      <c r="A17" t="s">
        <v>270</v>
      </c>
      <c r="B17" t="s">
        <v>271</v>
      </c>
      <c r="C17" s="1">
        <v>46038</v>
      </c>
      <c r="D17" t="s">
        <v>244</v>
      </c>
      <c r="E17" s="1">
        <v>46045</v>
      </c>
    </row>
    <row r="18" spans="1:5" x14ac:dyDescent="0.3">
      <c r="A18" t="s">
        <v>43</v>
      </c>
      <c r="B18" t="s">
        <v>272</v>
      </c>
      <c r="C18" s="1">
        <v>46039</v>
      </c>
      <c r="D18" t="s">
        <v>252</v>
      </c>
      <c r="E18" s="1">
        <v>46046</v>
      </c>
    </row>
    <row r="19" spans="1:5" x14ac:dyDescent="0.3">
      <c r="A19" t="s">
        <v>62</v>
      </c>
      <c r="B19" t="s">
        <v>273</v>
      </c>
      <c r="C19" s="1">
        <v>46040</v>
      </c>
      <c r="D19" t="s">
        <v>254</v>
      </c>
      <c r="E19" s="1">
        <v>46047</v>
      </c>
    </row>
    <row r="20" spans="1:5" x14ac:dyDescent="0.3">
      <c r="A20" t="s">
        <v>30</v>
      </c>
      <c r="B20" t="s">
        <v>274</v>
      </c>
      <c r="C20" s="1">
        <v>46041</v>
      </c>
      <c r="D20" t="s">
        <v>252</v>
      </c>
      <c r="E20" s="1">
        <v>46048</v>
      </c>
    </row>
    <row r="21" spans="1:5" x14ac:dyDescent="0.3">
      <c r="A21" t="s">
        <v>275</v>
      </c>
      <c r="B21" t="s">
        <v>276</v>
      </c>
      <c r="C21" s="1">
        <v>46042</v>
      </c>
      <c r="D21" t="s">
        <v>254</v>
      </c>
      <c r="E21" s="1">
        <v>46049</v>
      </c>
    </row>
    <row r="22" spans="1:5" x14ac:dyDescent="0.3">
      <c r="A22" t="s">
        <v>119</v>
      </c>
      <c r="B22" t="s">
        <v>277</v>
      </c>
      <c r="C22" s="1">
        <v>46043</v>
      </c>
      <c r="D22" t="s">
        <v>244</v>
      </c>
      <c r="E22" s="1">
        <v>46050</v>
      </c>
    </row>
    <row r="23" spans="1:5" x14ac:dyDescent="0.3">
      <c r="A23" t="s">
        <v>270</v>
      </c>
      <c r="B23" t="s">
        <v>278</v>
      </c>
      <c r="C23" s="1">
        <v>46044</v>
      </c>
      <c r="D23" t="s">
        <v>252</v>
      </c>
      <c r="E23" s="1">
        <v>46051</v>
      </c>
    </row>
    <row r="24" spans="1:5" x14ac:dyDescent="0.3">
      <c r="A24" t="s">
        <v>57</v>
      </c>
      <c r="B24" t="s">
        <v>279</v>
      </c>
      <c r="C24" s="1">
        <v>46045</v>
      </c>
      <c r="D24" t="s">
        <v>252</v>
      </c>
      <c r="E24" s="1">
        <v>46052</v>
      </c>
    </row>
    <row r="25" spans="1:5" x14ac:dyDescent="0.3">
      <c r="A25" t="s">
        <v>57</v>
      </c>
      <c r="B25" t="s">
        <v>280</v>
      </c>
      <c r="C25" s="1">
        <v>46046</v>
      </c>
      <c r="D25" t="s">
        <v>252</v>
      </c>
      <c r="E25" s="1">
        <v>46053</v>
      </c>
    </row>
    <row r="26" spans="1:5" x14ac:dyDescent="0.3">
      <c r="A26" t="s">
        <v>38</v>
      </c>
      <c r="B26" t="s">
        <v>281</v>
      </c>
      <c r="C26" s="1">
        <v>46047</v>
      </c>
      <c r="D26" t="s">
        <v>247</v>
      </c>
      <c r="E26" s="1">
        <v>46054</v>
      </c>
    </row>
    <row r="27" spans="1:5" x14ac:dyDescent="0.3">
      <c r="A27" t="s">
        <v>54</v>
      </c>
      <c r="B27" t="s">
        <v>282</v>
      </c>
      <c r="C27" s="1">
        <v>46048</v>
      </c>
      <c r="D27" t="s">
        <v>247</v>
      </c>
      <c r="E27" s="1">
        <v>46055</v>
      </c>
    </row>
    <row r="28" spans="1:5" x14ac:dyDescent="0.3">
      <c r="A28" t="s">
        <v>16</v>
      </c>
      <c r="B28" t="s">
        <v>283</v>
      </c>
      <c r="C28" s="1">
        <v>46049</v>
      </c>
      <c r="D28" t="s">
        <v>252</v>
      </c>
      <c r="E28" s="1">
        <v>46056</v>
      </c>
    </row>
    <row r="29" spans="1:5" x14ac:dyDescent="0.3">
      <c r="A29" t="s">
        <v>76</v>
      </c>
      <c r="B29" t="s">
        <v>284</v>
      </c>
      <c r="C29" s="1">
        <v>46050</v>
      </c>
      <c r="D29" t="s">
        <v>244</v>
      </c>
      <c r="E29" s="1">
        <v>46057</v>
      </c>
    </row>
    <row r="30" spans="1:5" x14ac:dyDescent="0.3">
      <c r="A30" t="s">
        <v>260</v>
      </c>
      <c r="B30" t="s">
        <v>285</v>
      </c>
      <c r="C30" s="1">
        <v>46051</v>
      </c>
      <c r="D30" t="s">
        <v>286</v>
      </c>
      <c r="E30" s="1">
        <v>46058</v>
      </c>
    </row>
    <row r="31" spans="1:5" x14ac:dyDescent="0.3">
      <c r="A31" t="s">
        <v>62</v>
      </c>
      <c r="B31" t="s">
        <v>287</v>
      </c>
      <c r="C31" s="1">
        <v>46052</v>
      </c>
      <c r="D31" t="s">
        <v>244</v>
      </c>
      <c r="E31" s="1">
        <v>46059</v>
      </c>
    </row>
    <row r="32" spans="1:5" x14ac:dyDescent="0.3">
      <c r="A32" t="s">
        <v>76</v>
      </c>
      <c r="B32" t="s">
        <v>288</v>
      </c>
      <c r="C32" s="1">
        <v>46053</v>
      </c>
      <c r="D32" t="s">
        <v>254</v>
      </c>
      <c r="E32" s="1">
        <v>46060</v>
      </c>
    </row>
    <row r="33" spans="1:5" x14ac:dyDescent="0.3">
      <c r="A33" t="s">
        <v>289</v>
      </c>
      <c r="B33" t="s">
        <v>290</v>
      </c>
      <c r="C33" s="1">
        <v>46054</v>
      </c>
      <c r="D33" t="s">
        <v>247</v>
      </c>
      <c r="E33" s="1">
        <v>46061</v>
      </c>
    </row>
    <row r="34" spans="1:5" x14ac:dyDescent="0.3">
      <c r="A34" t="s">
        <v>291</v>
      </c>
      <c r="B34" t="s">
        <v>292</v>
      </c>
      <c r="C34" s="1">
        <v>46055</v>
      </c>
      <c r="D34" t="s">
        <v>254</v>
      </c>
      <c r="E34" s="1">
        <v>46062</v>
      </c>
    </row>
    <row r="35" spans="1:5" x14ac:dyDescent="0.3">
      <c r="A35" t="s">
        <v>54</v>
      </c>
      <c r="B35" t="s">
        <v>293</v>
      </c>
      <c r="C35" s="1">
        <v>46056</v>
      </c>
      <c r="D35" t="s">
        <v>247</v>
      </c>
      <c r="E35" s="1">
        <v>46063</v>
      </c>
    </row>
    <row r="36" spans="1:5" x14ac:dyDescent="0.3">
      <c r="A36" t="s">
        <v>266</v>
      </c>
      <c r="B36" t="s">
        <v>294</v>
      </c>
      <c r="C36" s="1">
        <v>46057</v>
      </c>
      <c r="D36" t="s">
        <v>247</v>
      </c>
      <c r="E36" s="1">
        <v>46064</v>
      </c>
    </row>
    <row r="37" spans="1:5" x14ac:dyDescent="0.3">
      <c r="A37" t="s">
        <v>264</v>
      </c>
      <c r="B37" t="s">
        <v>295</v>
      </c>
      <c r="C37" s="1">
        <v>46058</v>
      </c>
      <c r="D37" t="s">
        <v>286</v>
      </c>
      <c r="E37" s="1">
        <v>46065</v>
      </c>
    </row>
    <row r="38" spans="1:5" x14ac:dyDescent="0.3">
      <c r="A38" t="s">
        <v>36</v>
      </c>
      <c r="B38" t="s">
        <v>296</v>
      </c>
      <c r="C38" s="1">
        <v>46059</v>
      </c>
      <c r="D38" t="s">
        <v>252</v>
      </c>
      <c r="E38" s="1">
        <v>46066</v>
      </c>
    </row>
    <row r="39" spans="1:5" x14ac:dyDescent="0.3">
      <c r="A39" t="s">
        <v>270</v>
      </c>
      <c r="B39" t="s">
        <v>297</v>
      </c>
      <c r="C39" s="1">
        <v>46060</v>
      </c>
      <c r="D39" t="s">
        <v>286</v>
      </c>
      <c r="E39" s="1">
        <v>46067</v>
      </c>
    </row>
    <row r="40" spans="1:5" x14ac:dyDescent="0.3">
      <c r="A40" t="s">
        <v>131</v>
      </c>
      <c r="B40" t="s">
        <v>298</v>
      </c>
      <c r="C40" s="1">
        <v>46061</v>
      </c>
      <c r="D40" t="s">
        <v>247</v>
      </c>
      <c r="E40" s="1">
        <v>46068</v>
      </c>
    </row>
    <row r="41" spans="1:5" x14ac:dyDescent="0.3">
      <c r="A41" t="s">
        <v>260</v>
      </c>
      <c r="B41" t="s">
        <v>299</v>
      </c>
      <c r="C41" s="1">
        <v>46062</v>
      </c>
      <c r="D41" t="s">
        <v>254</v>
      </c>
      <c r="E41" s="1">
        <v>46069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705C-42C6-482D-92F3-529310DFB025}">
  <sheetPr>
    <tabColor theme="5" tint="0.79998168889431442"/>
  </sheetPr>
  <dimension ref="A1:I48"/>
  <sheetViews>
    <sheetView zoomScale="90" workbookViewId="0">
      <pane ySplit="8" topLeftCell="A9" activePane="bottomLeft" state="frozen"/>
      <selection pane="bottomLeft" activeCell="A9" sqref="A9"/>
    </sheetView>
  </sheetViews>
  <sheetFormatPr defaultRowHeight="14.4" x14ac:dyDescent="0.3"/>
  <cols>
    <col min="1" max="1" width="4" customWidth="1"/>
    <col min="2" max="2" width="18" customWidth="1"/>
    <col min="3" max="5" width="14" customWidth="1"/>
    <col min="6" max="6" width="16" customWidth="1"/>
    <col min="7" max="7" width="13" customWidth="1"/>
    <col min="8" max="8" width="15" customWidth="1"/>
    <col min="9" max="9" width="24" customWidth="1"/>
  </cols>
  <sheetData>
    <row r="1" spans="1:9" ht="37.950000000000003" customHeight="1" x14ac:dyDescent="0.3">
      <c r="A1" s="743" t="s">
        <v>755</v>
      </c>
      <c r="B1" s="708"/>
      <c r="C1" s="708"/>
      <c r="D1" s="708"/>
      <c r="E1" s="708"/>
      <c r="F1" s="708"/>
      <c r="G1" s="708"/>
      <c r="H1" s="708"/>
      <c r="I1" s="708"/>
    </row>
    <row r="2" spans="1:9" ht="18" customHeight="1" x14ac:dyDescent="0.3">
      <c r="A2" s="744" t="s">
        <v>756</v>
      </c>
      <c r="B2" s="708"/>
      <c r="C2" s="708"/>
      <c r="D2" s="708"/>
      <c r="E2" s="708"/>
      <c r="F2" s="708"/>
      <c r="G2" s="708"/>
      <c r="H2" s="708"/>
      <c r="I2" s="708"/>
    </row>
    <row r="3" spans="1:9" ht="10.050000000000001" customHeight="1" thickBot="1" x14ac:dyDescent="0.35"/>
    <row r="4" spans="1:9" ht="19.95" customHeight="1" thickBot="1" x14ac:dyDescent="0.35">
      <c r="A4" s="745" t="s">
        <v>757</v>
      </c>
      <c r="B4" s="708"/>
      <c r="C4" s="746" t="s">
        <v>758</v>
      </c>
      <c r="D4" s="708"/>
      <c r="E4" s="747" t="s">
        <v>759</v>
      </c>
      <c r="F4" s="708"/>
      <c r="G4" s="748" t="s">
        <v>760</v>
      </c>
      <c r="H4" s="708"/>
      <c r="I4" s="749" t="s">
        <v>761</v>
      </c>
    </row>
    <row r="5" spans="1:9" ht="19.95" customHeight="1" x14ac:dyDescent="0.3">
      <c r="A5" s="708"/>
      <c r="B5" s="708"/>
      <c r="C5" s="708"/>
      <c r="D5" s="708"/>
      <c r="E5" s="708"/>
      <c r="F5" s="708"/>
      <c r="G5" s="708"/>
      <c r="H5" s="708"/>
      <c r="I5" s="708"/>
    </row>
    <row r="6" spans="1:9" ht="19.95" customHeight="1" x14ac:dyDescent="0.3">
      <c r="A6" s="708"/>
      <c r="B6" s="708"/>
      <c r="C6" s="708"/>
      <c r="D6" s="708"/>
      <c r="E6" s="708"/>
      <c r="F6" s="708"/>
      <c r="G6" s="708"/>
      <c r="H6" s="708"/>
      <c r="I6" s="708"/>
    </row>
    <row r="7" spans="1:9" ht="12" customHeight="1" x14ac:dyDescent="0.3"/>
    <row r="8" spans="1:9" ht="22.05" customHeight="1" x14ac:dyDescent="0.3">
      <c r="A8" s="407" t="s">
        <v>479</v>
      </c>
      <c r="B8" s="407" t="s">
        <v>416</v>
      </c>
      <c r="C8" s="407" t="s">
        <v>238</v>
      </c>
      <c r="D8" s="407" t="s">
        <v>762</v>
      </c>
      <c r="E8" s="407" t="s">
        <v>240</v>
      </c>
      <c r="F8" s="407" t="s">
        <v>763</v>
      </c>
      <c r="G8" s="407" t="s">
        <v>764</v>
      </c>
      <c r="H8" s="407" t="s">
        <v>765</v>
      </c>
      <c r="I8" s="407" t="s">
        <v>766</v>
      </c>
    </row>
    <row r="9" spans="1:9" ht="16.95" customHeight="1" x14ac:dyDescent="0.3">
      <c r="A9" s="412">
        <v>1</v>
      </c>
      <c r="B9" s="413" t="s">
        <v>242</v>
      </c>
      <c r="C9" s="414" t="s">
        <v>243</v>
      </c>
      <c r="D9" s="412" t="s">
        <v>767</v>
      </c>
      <c r="E9" s="415" t="s">
        <v>244</v>
      </c>
      <c r="F9" s="416" t="s">
        <v>768</v>
      </c>
      <c r="G9" s="416">
        <v>76</v>
      </c>
      <c r="H9" s="410" t="s">
        <v>753</v>
      </c>
      <c r="I9" s="417" t="s">
        <v>769</v>
      </c>
    </row>
    <row r="10" spans="1:9" ht="16.95" customHeight="1" x14ac:dyDescent="0.3">
      <c r="A10" s="412">
        <v>2</v>
      </c>
      <c r="B10" s="413" t="s">
        <v>245</v>
      </c>
      <c r="C10" s="414" t="s">
        <v>246</v>
      </c>
      <c r="D10" s="412" t="s">
        <v>770</v>
      </c>
      <c r="E10" s="418" t="s">
        <v>247</v>
      </c>
      <c r="F10" s="416" t="s">
        <v>771</v>
      </c>
      <c r="G10" s="416">
        <v>75</v>
      </c>
      <c r="H10" s="410" t="s">
        <v>753</v>
      </c>
      <c r="I10" s="417" t="s">
        <v>769</v>
      </c>
    </row>
    <row r="11" spans="1:9" ht="16.95" customHeight="1" x14ac:dyDescent="0.3">
      <c r="A11" s="412">
        <v>3</v>
      </c>
      <c r="B11" s="413" t="s">
        <v>248</v>
      </c>
      <c r="C11" s="414" t="s">
        <v>249</v>
      </c>
      <c r="D11" s="412" t="s">
        <v>772</v>
      </c>
      <c r="E11" s="415" t="s">
        <v>244</v>
      </c>
      <c r="F11" s="416" t="s">
        <v>773</v>
      </c>
      <c r="G11" s="416">
        <v>74</v>
      </c>
      <c r="H11" s="410" t="s">
        <v>753</v>
      </c>
      <c r="I11" s="417" t="s">
        <v>769</v>
      </c>
    </row>
    <row r="12" spans="1:9" ht="16.95" customHeight="1" x14ac:dyDescent="0.3">
      <c r="A12" s="412">
        <v>4</v>
      </c>
      <c r="B12" s="413" t="s">
        <v>245</v>
      </c>
      <c r="C12" s="414" t="s">
        <v>250</v>
      </c>
      <c r="D12" s="412" t="s">
        <v>774</v>
      </c>
      <c r="E12" s="415" t="s">
        <v>244</v>
      </c>
      <c r="F12" s="416" t="s">
        <v>775</v>
      </c>
      <c r="G12" s="416">
        <v>73</v>
      </c>
      <c r="H12" s="410" t="s">
        <v>753</v>
      </c>
      <c r="I12" s="417" t="s">
        <v>769</v>
      </c>
    </row>
    <row r="13" spans="1:9" ht="16.95" customHeight="1" x14ac:dyDescent="0.3">
      <c r="A13" s="412">
        <v>5</v>
      </c>
      <c r="B13" s="413" t="s">
        <v>48</v>
      </c>
      <c r="C13" s="414" t="s">
        <v>251</v>
      </c>
      <c r="D13" s="412" t="s">
        <v>776</v>
      </c>
      <c r="E13" s="419" t="s">
        <v>252</v>
      </c>
      <c r="F13" s="416" t="s">
        <v>777</v>
      </c>
      <c r="G13" s="416">
        <v>72</v>
      </c>
      <c r="H13" s="410" t="s">
        <v>753</v>
      </c>
      <c r="I13" s="417" t="s">
        <v>769</v>
      </c>
    </row>
    <row r="14" spans="1:9" ht="16.95" customHeight="1" x14ac:dyDescent="0.3">
      <c r="A14" s="412">
        <v>6</v>
      </c>
      <c r="B14" s="413" t="s">
        <v>74</v>
      </c>
      <c r="C14" s="414" t="s">
        <v>253</v>
      </c>
      <c r="D14" s="412" t="s">
        <v>778</v>
      </c>
      <c r="E14" s="420" t="s">
        <v>254</v>
      </c>
      <c r="F14" s="416" t="s">
        <v>779</v>
      </c>
      <c r="G14" s="416">
        <v>71</v>
      </c>
      <c r="H14" s="410" t="s">
        <v>753</v>
      </c>
      <c r="I14" s="417" t="s">
        <v>769</v>
      </c>
    </row>
    <row r="15" spans="1:9" ht="16.95" customHeight="1" x14ac:dyDescent="0.3">
      <c r="A15" s="412">
        <v>7</v>
      </c>
      <c r="B15" s="413" t="s">
        <v>248</v>
      </c>
      <c r="C15" s="414" t="s">
        <v>255</v>
      </c>
      <c r="D15" s="412" t="s">
        <v>780</v>
      </c>
      <c r="E15" s="419" t="s">
        <v>252</v>
      </c>
      <c r="F15" s="416" t="s">
        <v>781</v>
      </c>
      <c r="G15" s="416">
        <v>70</v>
      </c>
      <c r="H15" s="410" t="s">
        <v>753</v>
      </c>
      <c r="I15" s="417" t="s">
        <v>769</v>
      </c>
    </row>
    <row r="16" spans="1:9" ht="16.95" customHeight="1" x14ac:dyDescent="0.3">
      <c r="A16" s="412">
        <v>8</v>
      </c>
      <c r="B16" s="413" t="s">
        <v>256</v>
      </c>
      <c r="C16" s="414" t="s">
        <v>257</v>
      </c>
      <c r="D16" s="412" t="s">
        <v>768</v>
      </c>
      <c r="E16" s="419" t="s">
        <v>252</v>
      </c>
      <c r="F16" s="416" t="s">
        <v>782</v>
      </c>
      <c r="G16" s="416">
        <v>69</v>
      </c>
      <c r="H16" s="410" t="s">
        <v>753</v>
      </c>
      <c r="I16" s="417" t="s">
        <v>769</v>
      </c>
    </row>
    <row r="17" spans="1:9" ht="16.95" customHeight="1" x14ac:dyDescent="0.3">
      <c r="A17" s="412">
        <v>9</v>
      </c>
      <c r="B17" s="413" t="s">
        <v>258</v>
      </c>
      <c r="C17" s="414" t="s">
        <v>259</v>
      </c>
      <c r="D17" s="412" t="s">
        <v>771</v>
      </c>
      <c r="E17" s="415" t="s">
        <v>244</v>
      </c>
      <c r="F17" s="416" t="s">
        <v>783</v>
      </c>
      <c r="G17" s="416">
        <v>68</v>
      </c>
      <c r="H17" s="410" t="s">
        <v>753</v>
      </c>
      <c r="I17" s="417" t="s">
        <v>769</v>
      </c>
    </row>
    <row r="18" spans="1:9" ht="16.95" customHeight="1" x14ac:dyDescent="0.3">
      <c r="A18" s="412">
        <v>10</v>
      </c>
      <c r="B18" s="413" t="s">
        <v>260</v>
      </c>
      <c r="C18" s="414" t="s">
        <v>261</v>
      </c>
      <c r="D18" s="412" t="s">
        <v>773</v>
      </c>
      <c r="E18" s="419" t="s">
        <v>252</v>
      </c>
      <c r="F18" s="416" t="s">
        <v>784</v>
      </c>
      <c r="G18" s="416">
        <v>67</v>
      </c>
      <c r="H18" s="410" t="s">
        <v>753</v>
      </c>
      <c r="I18" s="417" t="s">
        <v>769</v>
      </c>
    </row>
    <row r="19" spans="1:9" ht="16.95" customHeight="1" x14ac:dyDescent="0.3">
      <c r="A19" s="412">
        <v>11</v>
      </c>
      <c r="B19" s="413" t="s">
        <v>262</v>
      </c>
      <c r="C19" s="414" t="s">
        <v>263</v>
      </c>
      <c r="D19" s="412" t="s">
        <v>775</v>
      </c>
      <c r="E19" s="415" t="s">
        <v>244</v>
      </c>
      <c r="F19" s="416" t="s">
        <v>785</v>
      </c>
      <c r="G19" s="416">
        <v>66</v>
      </c>
      <c r="H19" s="410" t="s">
        <v>753</v>
      </c>
      <c r="I19" s="417" t="s">
        <v>769</v>
      </c>
    </row>
    <row r="20" spans="1:9" ht="16.95" customHeight="1" x14ac:dyDescent="0.3">
      <c r="A20" s="412">
        <v>12</v>
      </c>
      <c r="B20" s="413" t="s">
        <v>264</v>
      </c>
      <c r="C20" s="414" t="s">
        <v>265</v>
      </c>
      <c r="D20" s="412" t="s">
        <v>777</v>
      </c>
      <c r="E20" s="418" t="s">
        <v>247</v>
      </c>
      <c r="F20" s="416" t="s">
        <v>786</v>
      </c>
      <c r="G20" s="416">
        <v>65</v>
      </c>
      <c r="H20" s="410" t="s">
        <v>753</v>
      </c>
      <c r="I20" s="417" t="s">
        <v>769</v>
      </c>
    </row>
    <row r="21" spans="1:9" ht="16.95" customHeight="1" x14ac:dyDescent="0.3">
      <c r="A21" s="412">
        <v>13</v>
      </c>
      <c r="B21" s="413" t="s">
        <v>266</v>
      </c>
      <c r="C21" s="414" t="s">
        <v>267</v>
      </c>
      <c r="D21" s="412" t="s">
        <v>779</v>
      </c>
      <c r="E21" s="418" t="s">
        <v>247</v>
      </c>
      <c r="F21" s="416" t="s">
        <v>787</v>
      </c>
      <c r="G21" s="416">
        <v>64</v>
      </c>
      <c r="H21" s="410" t="s">
        <v>753</v>
      </c>
      <c r="I21" s="417" t="s">
        <v>769</v>
      </c>
    </row>
    <row r="22" spans="1:9" ht="16.95" customHeight="1" x14ac:dyDescent="0.3">
      <c r="A22" s="412">
        <v>14</v>
      </c>
      <c r="B22" s="413" t="s">
        <v>260</v>
      </c>
      <c r="C22" s="414" t="s">
        <v>268</v>
      </c>
      <c r="D22" s="412" t="s">
        <v>781</v>
      </c>
      <c r="E22" s="420" t="s">
        <v>254</v>
      </c>
      <c r="F22" s="416" t="s">
        <v>788</v>
      </c>
      <c r="G22" s="416">
        <v>63</v>
      </c>
      <c r="H22" s="410" t="s">
        <v>753</v>
      </c>
      <c r="I22" s="417" t="s">
        <v>769</v>
      </c>
    </row>
    <row r="23" spans="1:9" ht="16.95" customHeight="1" x14ac:dyDescent="0.3">
      <c r="A23" s="412">
        <v>15</v>
      </c>
      <c r="B23" s="413" t="s">
        <v>256</v>
      </c>
      <c r="C23" s="414" t="s">
        <v>269</v>
      </c>
      <c r="D23" s="412" t="s">
        <v>782</v>
      </c>
      <c r="E23" s="418" t="s">
        <v>247</v>
      </c>
      <c r="F23" s="416" t="s">
        <v>789</v>
      </c>
      <c r="G23" s="416">
        <v>62</v>
      </c>
      <c r="H23" s="410" t="s">
        <v>753</v>
      </c>
      <c r="I23" s="417" t="s">
        <v>769</v>
      </c>
    </row>
    <row r="24" spans="1:9" ht="16.95" customHeight="1" x14ac:dyDescent="0.3">
      <c r="A24" s="412">
        <v>16</v>
      </c>
      <c r="B24" s="413" t="s">
        <v>270</v>
      </c>
      <c r="C24" s="414" t="s">
        <v>271</v>
      </c>
      <c r="D24" s="412" t="s">
        <v>783</v>
      </c>
      <c r="E24" s="415" t="s">
        <v>244</v>
      </c>
      <c r="F24" s="416" t="s">
        <v>790</v>
      </c>
      <c r="G24" s="416">
        <v>61</v>
      </c>
      <c r="H24" s="410" t="s">
        <v>753</v>
      </c>
      <c r="I24" s="417" t="s">
        <v>769</v>
      </c>
    </row>
    <row r="25" spans="1:9" ht="16.95" customHeight="1" x14ac:dyDescent="0.3">
      <c r="A25" s="412">
        <v>17</v>
      </c>
      <c r="B25" s="413" t="s">
        <v>43</v>
      </c>
      <c r="C25" s="414" t="s">
        <v>272</v>
      </c>
      <c r="D25" s="412" t="s">
        <v>784</v>
      </c>
      <c r="E25" s="419" t="s">
        <v>252</v>
      </c>
      <c r="F25" s="416" t="s">
        <v>791</v>
      </c>
      <c r="G25" s="416">
        <v>60</v>
      </c>
      <c r="H25" s="410" t="s">
        <v>753</v>
      </c>
      <c r="I25" s="417" t="s">
        <v>769</v>
      </c>
    </row>
    <row r="26" spans="1:9" ht="16.95" customHeight="1" x14ac:dyDescent="0.3">
      <c r="A26" s="412">
        <v>18</v>
      </c>
      <c r="B26" s="413" t="s">
        <v>62</v>
      </c>
      <c r="C26" s="414" t="s">
        <v>273</v>
      </c>
      <c r="D26" s="412" t="s">
        <v>785</v>
      </c>
      <c r="E26" s="420" t="s">
        <v>254</v>
      </c>
      <c r="F26" s="416" t="s">
        <v>792</v>
      </c>
      <c r="G26" s="416">
        <v>59</v>
      </c>
      <c r="H26" s="410" t="s">
        <v>753</v>
      </c>
      <c r="I26" s="417" t="s">
        <v>769</v>
      </c>
    </row>
    <row r="27" spans="1:9" ht="16.95" customHeight="1" x14ac:dyDescent="0.3">
      <c r="A27" s="412">
        <v>19</v>
      </c>
      <c r="B27" s="413" t="s">
        <v>30</v>
      </c>
      <c r="C27" s="414" t="s">
        <v>274</v>
      </c>
      <c r="D27" s="412" t="s">
        <v>786</v>
      </c>
      <c r="E27" s="419" t="s">
        <v>252</v>
      </c>
      <c r="F27" s="416" t="s">
        <v>793</v>
      </c>
      <c r="G27" s="416">
        <v>58</v>
      </c>
      <c r="H27" s="410" t="s">
        <v>753</v>
      </c>
      <c r="I27" s="417" t="s">
        <v>769</v>
      </c>
    </row>
    <row r="28" spans="1:9" ht="16.95" customHeight="1" x14ac:dyDescent="0.3">
      <c r="A28" s="412">
        <v>20</v>
      </c>
      <c r="B28" s="413" t="s">
        <v>275</v>
      </c>
      <c r="C28" s="414" t="s">
        <v>276</v>
      </c>
      <c r="D28" s="412" t="s">
        <v>787</v>
      </c>
      <c r="E28" s="420" t="s">
        <v>254</v>
      </c>
      <c r="F28" s="416" t="s">
        <v>794</v>
      </c>
      <c r="G28" s="416">
        <v>57</v>
      </c>
      <c r="H28" s="410" t="s">
        <v>753</v>
      </c>
      <c r="I28" s="417" t="s">
        <v>769</v>
      </c>
    </row>
    <row r="29" spans="1:9" ht="16.95" customHeight="1" x14ac:dyDescent="0.3">
      <c r="A29" s="412">
        <v>21</v>
      </c>
      <c r="B29" s="413" t="s">
        <v>119</v>
      </c>
      <c r="C29" s="414" t="s">
        <v>277</v>
      </c>
      <c r="D29" s="412" t="s">
        <v>788</v>
      </c>
      <c r="E29" s="415" t="s">
        <v>244</v>
      </c>
      <c r="F29" s="416" t="s">
        <v>795</v>
      </c>
      <c r="G29" s="416">
        <v>56</v>
      </c>
      <c r="H29" s="410" t="s">
        <v>753</v>
      </c>
      <c r="I29" s="417" t="s">
        <v>769</v>
      </c>
    </row>
    <row r="30" spans="1:9" ht="16.95" customHeight="1" x14ac:dyDescent="0.3">
      <c r="A30" s="412">
        <v>22</v>
      </c>
      <c r="B30" s="413" t="s">
        <v>270</v>
      </c>
      <c r="C30" s="414" t="s">
        <v>278</v>
      </c>
      <c r="D30" s="412" t="s">
        <v>789</v>
      </c>
      <c r="E30" s="419" t="s">
        <v>252</v>
      </c>
      <c r="F30" s="416" t="s">
        <v>796</v>
      </c>
      <c r="G30" s="416">
        <v>55</v>
      </c>
      <c r="H30" s="410" t="s">
        <v>753</v>
      </c>
      <c r="I30" s="417" t="s">
        <v>769</v>
      </c>
    </row>
    <row r="31" spans="1:9" ht="16.95" customHeight="1" x14ac:dyDescent="0.3">
      <c r="A31" s="412">
        <v>23</v>
      </c>
      <c r="B31" s="413" t="s">
        <v>57</v>
      </c>
      <c r="C31" s="414" t="s">
        <v>279</v>
      </c>
      <c r="D31" s="412" t="s">
        <v>790</v>
      </c>
      <c r="E31" s="419" t="s">
        <v>252</v>
      </c>
      <c r="F31" s="416" t="s">
        <v>797</v>
      </c>
      <c r="G31" s="416">
        <v>54</v>
      </c>
      <c r="H31" s="410" t="s">
        <v>753</v>
      </c>
      <c r="I31" s="417" t="s">
        <v>769</v>
      </c>
    </row>
    <row r="32" spans="1:9" ht="16.95" customHeight="1" x14ac:dyDescent="0.3">
      <c r="A32" s="412">
        <v>24</v>
      </c>
      <c r="B32" s="413" t="s">
        <v>57</v>
      </c>
      <c r="C32" s="414" t="s">
        <v>280</v>
      </c>
      <c r="D32" s="412" t="s">
        <v>791</v>
      </c>
      <c r="E32" s="419" t="s">
        <v>252</v>
      </c>
      <c r="F32" s="416" t="s">
        <v>798</v>
      </c>
      <c r="G32" s="416">
        <v>53</v>
      </c>
      <c r="H32" s="410" t="s">
        <v>753</v>
      </c>
      <c r="I32" s="417" t="s">
        <v>769</v>
      </c>
    </row>
    <row r="33" spans="1:9" ht="16.95" customHeight="1" x14ac:dyDescent="0.3">
      <c r="A33" s="412">
        <v>25</v>
      </c>
      <c r="B33" s="413" t="s">
        <v>38</v>
      </c>
      <c r="C33" s="414" t="s">
        <v>281</v>
      </c>
      <c r="D33" s="412" t="s">
        <v>792</v>
      </c>
      <c r="E33" s="418" t="s">
        <v>247</v>
      </c>
      <c r="F33" s="416" t="s">
        <v>799</v>
      </c>
      <c r="G33" s="416">
        <v>52</v>
      </c>
      <c r="H33" s="410" t="s">
        <v>753</v>
      </c>
      <c r="I33" s="417" t="s">
        <v>769</v>
      </c>
    </row>
    <row r="34" spans="1:9" ht="16.95" customHeight="1" x14ac:dyDescent="0.3">
      <c r="A34" s="412">
        <v>26</v>
      </c>
      <c r="B34" s="413" t="s">
        <v>54</v>
      </c>
      <c r="C34" s="414" t="s">
        <v>282</v>
      </c>
      <c r="D34" s="412" t="s">
        <v>793</v>
      </c>
      <c r="E34" s="418" t="s">
        <v>247</v>
      </c>
      <c r="F34" s="416" t="s">
        <v>800</v>
      </c>
      <c r="G34" s="416">
        <v>51</v>
      </c>
      <c r="H34" s="410" t="s">
        <v>753</v>
      </c>
      <c r="I34" s="417" t="s">
        <v>769</v>
      </c>
    </row>
    <row r="35" spans="1:9" ht="16.95" customHeight="1" x14ac:dyDescent="0.3">
      <c r="A35" s="412">
        <v>27</v>
      </c>
      <c r="B35" s="413" t="s">
        <v>16</v>
      </c>
      <c r="C35" s="414" t="s">
        <v>283</v>
      </c>
      <c r="D35" s="412" t="s">
        <v>794</v>
      </c>
      <c r="E35" s="419" t="s">
        <v>252</v>
      </c>
      <c r="F35" s="416" t="s">
        <v>801</v>
      </c>
      <c r="G35" s="416">
        <v>50</v>
      </c>
      <c r="H35" s="410" t="s">
        <v>753</v>
      </c>
      <c r="I35" s="417" t="s">
        <v>769</v>
      </c>
    </row>
    <row r="36" spans="1:9" ht="16.95" customHeight="1" x14ac:dyDescent="0.3">
      <c r="A36" s="412">
        <v>28</v>
      </c>
      <c r="B36" s="413" t="s">
        <v>76</v>
      </c>
      <c r="C36" s="414" t="s">
        <v>284</v>
      </c>
      <c r="D36" s="412" t="s">
        <v>795</v>
      </c>
      <c r="E36" s="415" t="s">
        <v>244</v>
      </c>
      <c r="F36" s="416" t="s">
        <v>802</v>
      </c>
      <c r="G36" s="416">
        <v>49</v>
      </c>
      <c r="H36" s="410" t="s">
        <v>753</v>
      </c>
      <c r="I36" s="417" t="s">
        <v>769</v>
      </c>
    </row>
    <row r="37" spans="1:9" ht="16.95" customHeight="1" x14ac:dyDescent="0.3">
      <c r="A37" s="412">
        <v>29</v>
      </c>
      <c r="B37" s="413" t="s">
        <v>260</v>
      </c>
      <c r="C37" s="414" t="s">
        <v>285</v>
      </c>
      <c r="D37" s="412" t="s">
        <v>796</v>
      </c>
      <c r="E37" s="421" t="s">
        <v>286</v>
      </c>
      <c r="F37" s="416" t="s">
        <v>803</v>
      </c>
      <c r="G37" s="416">
        <v>48</v>
      </c>
      <c r="H37" s="410" t="s">
        <v>753</v>
      </c>
      <c r="I37" s="417" t="s">
        <v>769</v>
      </c>
    </row>
    <row r="38" spans="1:9" ht="16.95" customHeight="1" x14ac:dyDescent="0.3">
      <c r="A38" s="412">
        <v>30</v>
      </c>
      <c r="B38" s="413" t="s">
        <v>62</v>
      </c>
      <c r="C38" s="414" t="s">
        <v>287</v>
      </c>
      <c r="D38" s="412" t="s">
        <v>797</v>
      </c>
      <c r="E38" s="415" t="s">
        <v>244</v>
      </c>
      <c r="F38" s="416" t="s">
        <v>804</v>
      </c>
      <c r="G38" s="416">
        <v>47</v>
      </c>
      <c r="H38" s="410" t="s">
        <v>753</v>
      </c>
      <c r="I38" s="417" t="s">
        <v>769</v>
      </c>
    </row>
    <row r="39" spans="1:9" ht="16.95" customHeight="1" x14ac:dyDescent="0.3">
      <c r="A39" s="412">
        <v>31</v>
      </c>
      <c r="B39" s="413" t="s">
        <v>76</v>
      </c>
      <c r="C39" s="414" t="s">
        <v>288</v>
      </c>
      <c r="D39" s="412" t="s">
        <v>798</v>
      </c>
      <c r="E39" s="420" t="s">
        <v>254</v>
      </c>
      <c r="F39" s="416" t="s">
        <v>805</v>
      </c>
      <c r="G39" s="416">
        <v>46</v>
      </c>
      <c r="H39" s="410" t="s">
        <v>753</v>
      </c>
      <c r="I39" s="417" t="s">
        <v>769</v>
      </c>
    </row>
    <row r="40" spans="1:9" ht="16.95" customHeight="1" x14ac:dyDescent="0.3">
      <c r="A40" s="412">
        <v>32</v>
      </c>
      <c r="B40" s="413" t="s">
        <v>289</v>
      </c>
      <c r="C40" s="414" t="s">
        <v>290</v>
      </c>
      <c r="D40" s="412" t="s">
        <v>799</v>
      </c>
      <c r="E40" s="418" t="s">
        <v>247</v>
      </c>
      <c r="F40" s="416" t="s">
        <v>806</v>
      </c>
      <c r="G40" s="416">
        <v>45</v>
      </c>
      <c r="H40" s="410" t="s">
        <v>753</v>
      </c>
      <c r="I40" s="417" t="s">
        <v>769</v>
      </c>
    </row>
    <row r="41" spans="1:9" ht="16.95" customHeight="1" x14ac:dyDescent="0.3">
      <c r="A41" s="412">
        <v>33</v>
      </c>
      <c r="B41" s="413" t="s">
        <v>291</v>
      </c>
      <c r="C41" s="414" t="s">
        <v>292</v>
      </c>
      <c r="D41" s="412" t="s">
        <v>800</v>
      </c>
      <c r="E41" s="420" t="s">
        <v>254</v>
      </c>
      <c r="F41" s="416" t="s">
        <v>807</v>
      </c>
      <c r="G41" s="416">
        <v>44</v>
      </c>
      <c r="H41" s="410" t="s">
        <v>753</v>
      </c>
      <c r="I41" s="417" t="s">
        <v>769</v>
      </c>
    </row>
    <row r="42" spans="1:9" ht="16.95" customHeight="1" x14ac:dyDescent="0.3">
      <c r="A42" s="412">
        <v>34</v>
      </c>
      <c r="B42" s="413" t="s">
        <v>54</v>
      </c>
      <c r="C42" s="414" t="s">
        <v>293</v>
      </c>
      <c r="D42" s="412" t="s">
        <v>801</v>
      </c>
      <c r="E42" s="418" t="s">
        <v>247</v>
      </c>
      <c r="F42" s="416" t="s">
        <v>808</v>
      </c>
      <c r="G42" s="416">
        <v>43</v>
      </c>
      <c r="H42" s="410" t="s">
        <v>753</v>
      </c>
      <c r="I42" s="417" t="s">
        <v>769</v>
      </c>
    </row>
    <row r="43" spans="1:9" ht="16.95" customHeight="1" x14ac:dyDescent="0.3">
      <c r="A43" s="412">
        <v>35</v>
      </c>
      <c r="B43" s="413" t="s">
        <v>266</v>
      </c>
      <c r="C43" s="414" t="s">
        <v>294</v>
      </c>
      <c r="D43" s="412" t="s">
        <v>802</v>
      </c>
      <c r="E43" s="418" t="s">
        <v>247</v>
      </c>
      <c r="F43" s="416" t="s">
        <v>809</v>
      </c>
      <c r="G43" s="416">
        <v>42</v>
      </c>
      <c r="H43" s="410" t="s">
        <v>753</v>
      </c>
      <c r="I43" s="417" t="s">
        <v>769</v>
      </c>
    </row>
    <row r="44" spans="1:9" ht="16.95" customHeight="1" x14ac:dyDescent="0.3">
      <c r="A44" s="412">
        <v>36</v>
      </c>
      <c r="B44" s="413" t="s">
        <v>264</v>
      </c>
      <c r="C44" s="414" t="s">
        <v>295</v>
      </c>
      <c r="D44" s="412" t="s">
        <v>803</v>
      </c>
      <c r="E44" s="421" t="s">
        <v>286</v>
      </c>
      <c r="F44" s="416" t="s">
        <v>810</v>
      </c>
      <c r="G44" s="416">
        <v>41</v>
      </c>
      <c r="H44" s="410" t="s">
        <v>753</v>
      </c>
      <c r="I44" s="417" t="s">
        <v>769</v>
      </c>
    </row>
    <row r="45" spans="1:9" ht="16.95" customHeight="1" x14ac:dyDescent="0.3">
      <c r="A45" s="412">
        <v>37</v>
      </c>
      <c r="B45" s="413" t="s">
        <v>36</v>
      </c>
      <c r="C45" s="414" t="s">
        <v>296</v>
      </c>
      <c r="D45" s="412" t="s">
        <v>804</v>
      </c>
      <c r="E45" s="419" t="s">
        <v>252</v>
      </c>
      <c r="F45" s="416" t="s">
        <v>811</v>
      </c>
      <c r="G45" s="416">
        <v>40</v>
      </c>
      <c r="H45" s="410" t="s">
        <v>753</v>
      </c>
      <c r="I45" s="417" t="s">
        <v>769</v>
      </c>
    </row>
    <row r="46" spans="1:9" ht="16.95" customHeight="1" x14ac:dyDescent="0.3">
      <c r="A46" s="412">
        <v>38</v>
      </c>
      <c r="B46" s="413" t="s">
        <v>270</v>
      </c>
      <c r="C46" s="414" t="s">
        <v>297</v>
      </c>
      <c r="D46" s="412" t="s">
        <v>805</v>
      </c>
      <c r="E46" s="421" t="s">
        <v>286</v>
      </c>
      <c r="F46" s="416" t="s">
        <v>812</v>
      </c>
      <c r="G46" s="416">
        <v>39</v>
      </c>
      <c r="H46" s="410" t="s">
        <v>753</v>
      </c>
      <c r="I46" s="417" t="s">
        <v>769</v>
      </c>
    </row>
    <row r="47" spans="1:9" ht="16.95" customHeight="1" x14ac:dyDescent="0.3">
      <c r="A47" s="412">
        <v>39</v>
      </c>
      <c r="B47" s="413" t="s">
        <v>131</v>
      </c>
      <c r="C47" s="414" t="s">
        <v>298</v>
      </c>
      <c r="D47" s="412" t="s">
        <v>806</v>
      </c>
      <c r="E47" s="418" t="s">
        <v>247</v>
      </c>
      <c r="F47" s="416" t="s">
        <v>813</v>
      </c>
      <c r="G47" s="416">
        <v>38</v>
      </c>
      <c r="H47" s="410" t="s">
        <v>753</v>
      </c>
      <c r="I47" s="417" t="s">
        <v>769</v>
      </c>
    </row>
    <row r="48" spans="1:9" ht="16.95" customHeight="1" x14ac:dyDescent="0.3">
      <c r="A48" s="412">
        <v>40</v>
      </c>
      <c r="B48" s="413" t="s">
        <v>260</v>
      </c>
      <c r="C48" s="414" t="s">
        <v>299</v>
      </c>
      <c r="D48" s="412" t="s">
        <v>807</v>
      </c>
      <c r="E48" s="420" t="s">
        <v>254</v>
      </c>
      <c r="F48" s="416" t="s">
        <v>814</v>
      </c>
      <c r="G48" s="416">
        <v>37</v>
      </c>
      <c r="H48" s="410" t="s">
        <v>753</v>
      </c>
      <c r="I48" s="417" t="s">
        <v>769</v>
      </c>
    </row>
  </sheetData>
  <mergeCells count="7">
    <mergeCell ref="A1:I1"/>
    <mergeCell ref="A2:I2"/>
    <mergeCell ref="A4:B6"/>
    <mergeCell ref="C4:D6"/>
    <mergeCell ref="E4:F6"/>
    <mergeCell ref="G4:H6"/>
    <mergeCell ref="I4:I6"/>
  </mergeCell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0910-9205-44E7-8CA1-A40CA22864B4}">
  <sheetPr>
    <tabColor theme="5" tint="0.79998168889431442"/>
  </sheetPr>
  <dimension ref="B2:H57"/>
  <sheetViews>
    <sheetView showGridLines="0" workbookViewId="0">
      <pane xSplit="1" ySplit="3" topLeftCell="B4" activePane="bottomRight" state="frozen"/>
      <selection pane="topRight"/>
      <selection pane="bottomLeft"/>
      <selection pane="bottomRight" activeCell="B4" sqref="B4:H4"/>
    </sheetView>
  </sheetViews>
  <sheetFormatPr defaultRowHeight="14.4" x14ac:dyDescent="0.3"/>
  <cols>
    <col min="1" max="1" width="3" customWidth="1"/>
    <col min="2" max="2" width="20" customWidth="1"/>
    <col min="3" max="3" width="16" customWidth="1"/>
    <col min="4" max="6" width="18" customWidth="1"/>
    <col min="7" max="7" width="14" customWidth="1"/>
    <col min="8" max="8" width="32.109375" bestFit="1" customWidth="1"/>
    <col min="9" max="9" width="3" customWidth="1"/>
  </cols>
  <sheetData>
    <row r="2" spans="2:8" ht="21" x14ac:dyDescent="0.3">
      <c r="B2" s="754" t="s">
        <v>1236</v>
      </c>
      <c r="C2" s="708"/>
      <c r="D2" s="708"/>
      <c r="E2" s="708"/>
      <c r="F2" s="708"/>
      <c r="G2" s="708"/>
      <c r="H2" s="708"/>
    </row>
    <row r="4" spans="2:8" x14ac:dyDescent="0.3">
      <c r="B4" s="753" t="s">
        <v>1235</v>
      </c>
      <c r="C4" s="751"/>
      <c r="D4" s="751"/>
      <c r="E4" s="751"/>
      <c r="F4" s="751"/>
      <c r="G4" s="751"/>
      <c r="H4" s="752"/>
    </row>
    <row r="5" spans="2:8" ht="26.4" x14ac:dyDescent="0.3">
      <c r="B5" s="706" t="s">
        <v>416</v>
      </c>
      <c r="C5" s="706" t="s">
        <v>238</v>
      </c>
      <c r="D5" s="706" t="s">
        <v>762</v>
      </c>
      <c r="E5" s="706" t="s">
        <v>763</v>
      </c>
      <c r="F5" s="706" t="s">
        <v>764</v>
      </c>
      <c r="G5" s="706" t="s">
        <v>1224</v>
      </c>
      <c r="H5" s="706" t="s">
        <v>1226</v>
      </c>
    </row>
    <row r="6" spans="2:8" x14ac:dyDescent="0.3">
      <c r="B6" s="705" t="s">
        <v>245</v>
      </c>
      <c r="C6" s="704" t="s">
        <v>246</v>
      </c>
      <c r="D6" s="703">
        <v>46024</v>
      </c>
      <c r="E6" s="703">
        <v>46031</v>
      </c>
      <c r="F6" s="702">
        <v>77</v>
      </c>
      <c r="G6" s="701">
        <v>84</v>
      </c>
      <c r="H6" s="700" t="s">
        <v>1234</v>
      </c>
    </row>
    <row r="7" spans="2:8" x14ac:dyDescent="0.3">
      <c r="B7" s="699" t="s">
        <v>264</v>
      </c>
      <c r="C7" s="698" t="s">
        <v>265</v>
      </c>
      <c r="D7" s="697">
        <v>46034</v>
      </c>
      <c r="E7" s="697">
        <v>46041</v>
      </c>
      <c r="F7" s="696">
        <v>67</v>
      </c>
      <c r="G7" s="695">
        <v>74</v>
      </c>
      <c r="H7" s="694" t="s">
        <v>1234</v>
      </c>
    </row>
    <row r="8" spans="2:8" x14ac:dyDescent="0.3">
      <c r="B8" s="705" t="s">
        <v>266</v>
      </c>
      <c r="C8" s="704" t="s">
        <v>267</v>
      </c>
      <c r="D8" s="703">
        <v>46035</v>
      </c>
      <c r="E8" s="703">
        <v>46042</v>
      </c>
      <c r="F8" s="702">
        <v>66</v>
      </c>
      <c r="G8" s="701">
        <v>73</v>
      </c>
      <c r="H8" s="700" t="s">
        <v>1234</v>
      </c>
    </row>
    <row r="9" spans="2:8" x14ac:dyDescent="0.3">
      <c r="B9" s="699" t="s">
        <v>256</v>
      </c>
      <c r="C9" s="698" t="s">
        <v>269</v>
      </c>
      <c r="D9" s="697">
        <v>46037</v>
      </c>
      <c r="E9" s="697">
        <v>46044</v>
      </c>
      <c r="F9" s="696">
        <v>64</v>
      </c>
      <c r="G9" s="695">
        <v>71</v>
      </c>
      <c r="H9" s="694" t="s">
        <v>1234</v>
      </c>
    </row>
    <row r="10" spans="2:8" x14ac:dyDescent="0.3">
      <c r="B10" s="705" t="s">
        <v>38</v>
      </c>
      <c r="C10" s="704" t="s">
        <v>281</v>
      </c>
      <c r="D10" s="703">
        <v>46047</v>
      </c>
      <c r="E10" s="703">
        <v>46054</v>
      </c>
      <c r="F10" s="702">
        <v>54</v>
      </c>
      <c r="G10" s="701">
        <v>61</v>
      </c>
      <c r="H10" s="700" t="s">
        <v>1234</v>
      </c>
    </row>
    <row r="11" spans="2:8" x14ac:dyDescent="0.3">
      <c r="B11" s="699" t="s">
        <v>54</v>
      </c>
      <c r="C11" s="698" t="s">
        <v>282</v>
      </c>
      <c r="D11" s="697">
        <v>46048</v>
      </c>
      <c r="E11" s="697">
        <v>46055</v>
      </c>
      <c r="F11" s="696">
        <v>53</v>
      </c>
      <c r="G11" s="695">
        <v>60</v>
      </c>
      <c r="H11" s="694" t="s">
        <v>1234</v>
      </c>
    </row>
    <row r="12" spans="2:8" x14ac:dyDescent="0.3">
      <c r="B12" s="705" t="s">
        <v>289</v>
      </c>
      <c r="C12" s="704" t="s">
        <v>290</v>
      </c>
      <c r="D12" s="703">
        <v>46054</v>
      </c>
      <c r="E12" s="703">
        <v>46061</v>
      </c>
      <c r="F12" s="702">
        <v>47</v>
      </c>
      <c r="G12" s="701">
        <v>54</v>
      </c>
      <c r="H12" s="700" t="s">
        <v>1234</v>
      </c>
    </row>
    <row r="13" spans="2:8" x14ac:dyDescent="0.3">
      <c r="B13" s="699" t="s">
        <v>54</v>
      </c>
      <c r="C13" s="698" t="s">
        <v>293</v>
      </c>
      <c r="D13" s="697">
        <v>46056</v>
      </c>
      <c r="E13" s="697">
        <v>46063</v>
      </c>
      <c r="F13" s="696">
        <v>45</v>
      </c>
      <c r="G13" s="695">
        <v>52</v>
      </c>
      <c r="H13" s="694" t="s">
        <v>1234</v>
      </c>
    </row>
    <row r="14" spans="2:8" x14ac:dyDescent="0.3">
      <c r="B14" s="705" t="s">
        <v>266</v>
      </c>
      <c r="C14" s="704" t="s">
        <v>294</v>
      </c>
      <c r="D14" s="703">
        <v>46057</v>
      </c>
      <c r="E14" s="703">
        <v>46064</v>
      </c>
      <c r="F14" s="702">
        <v>44</v>
      </c>
      <c r="G14" s="701">
        <v>51</v>
      </c>
      <c r="H14" s="700" t="s">
        <v>1234</v>
      </c>
    </row>
    <row r="15" spans="2:8" x14ac:dyDescent="0.3">
      <c r="B15" s="699" t="s">
        <v>131</v>
      </c>
      <c r="C15" s="698" t="s">
        <v>298</v>
      </c>
      <c r="D15" s="697">
        <v>46061</v>
      </c>
      <c r="E15" s="697">
        <v>46068</v>
      </c>
      <c r="F15" s="696">
        <v>40</v>
      </c>
      <c r="G15" s="695">
        <v>47</v>
      </c>
      <c r="H15" s="694" t="s">
        <v>1234</v>
      </c>
    </row>
    <row r="17" spans="2:8" x14ac:dyDescent="0.3">
      <c r="B17" s="750" t="s">
        <v>1233</v>
      </c>
      <c r="C17" s="751"/>
      <c r="D17" s="751"/>
      <c r="E17" s="751"/>
      <c r="F17" s="751"/>
      <c r="G17" s="751"/>
      <c r="H17" s="752"/>
    </row>
    <row r="18" spans="2:8" ht="26.4" x14ac:dyDescent="0.3">
      <c r="B18" s="693" t="s">
        <v>416</v>
      </c>
      <c r="C18" s="693" t="s">
        <v>238</v>
      </c>
      <c r="D18" s="693" t="s">
        <v>762</v>
      </c>
      <c r="E18" s="693" t="s">
        <v>763</v>
      </c>
      <c r="F18" s="693" t="s">
        <v>764</v>
      </c>
      <c r="G18" s="693" t="s">
        <v>1224</v>
      </c>
      <c r="H18" s="693" t="s">
        <v>1226</v>
      </c>
    </row>
    <row r="19" spans="2:8" x14ac:dyDescent="0.3">
      <c r="B19" s="686" t="s">
        <v>260</v>
      </c>
      <c r="C19" s="685" t="s">
        <v>285</v>
      </c>
      <c r="D19" s="684">
        <v>46051</v>
      </c>
      <c r="E19" s="684">
        <v>46058</v>
      </c>
      <c r="F19" s="683">
        <v>50</v>
      </c>
      <c r="G19" s="682">
        <v>57</v>
      </c>
      <c r="H19" s="681" t="s">
        <v>1232</v>
      </c>
    </row>
    <row r="20" spans="2:8" x14ac:dyDescent="0.3">
      <c r="B20" s="692" t="s">
        <v>264</v>
      </c>
      <c r="C20" s="691" t="s">
        <v>295</v>
      </c>
      <c r="D20" s="690">
        <v>46058</v>
      </c>
      <c r="E20" s="690">
        <v>46065</v>
      </c>
      <c r="F20" s="689">
        <v>43</v>
      </c>
      <c r="G20" s="688">
        <v>50</v>
      </c>
      <c r="H20" s="687" t="s">
        <v>1232</v>
      </c>
    </row>
    <row r="21" spans="2:8" x14ac:dyDescent="0.3">
      <c r="B21" s="686" t="s">
        <v>270</v>
      </c>
      <c r="C21" s="685" t="s">
        <v>297</v>
      </c>
      <c r="D21" s="684">
        <v>46060</v>
      </c>
      <c r="E21" s="684">
        <v>46067</v>
      </c>
      <c r="F21" s="683">
        <v>41</v>
      </c>
      <c r="G21" s="682">
        <v>48</v>
      </c>
      <c r="H21" s="681" t="s">
        <v>1232</v>
      </c>
    </row>
    <row r="23" spans="2:8" x14ac:dyDescent="0.3">
      <c r="B23" s="757" t="s">
        <v>1231</v>
      </c>
      <c r="C23" s="751"/>
      <c r="D23" s="751"/>
      <c r="E23" s="751"/>
      <c r="F23" s="751"/>
      <c r="G23" s="751"/>
      <c r="H23" s="752"/>
    </row>
    <row r="24" spans="2:8" ht="26.4" x14ac:dyDescent="0.3">
      <c r="B24" s="680" t="s">
        <v>416</v>
      </c>
      <c r="C24" s="680" t="s">
        <v>238</v>
      </c>
      <c r="D24" s="680" t="s">
        <v>762</v>
      </c>
      <c r="E24" s="680" t="s">
        <v>763</v>
      </c>
      <c r="F24" s="680" t="s">
        <v>764</v>
      </c>
      <c r="G24" s="680" t="s">
        <v>1224</v>
      </c>
      <c r="H24" s="680" t="s">
        <v>1226</v>
      </c>
    </row>
    <row r="25" spans="2:8" x14ac:dyDescent="0.3">
      <c r="B25" s="673" t="s">
        <v>74</v>
      </c>
      <c r="C25" s="672" t="s">
        <v>253</v>
      </c>
      <c r="D25" s="671">
        <v>46028</v>
      </c>
      <c r="E25" s="671">
        <v>46035</v>
      </c>
      <c r="F25" s="670">
        <v>73</v>
      </c>
      <c r="G25" s="669">
        <v>80</v>
      </c>
      <c r="H25" s="668" t="s">
        <v>1230</v>
      </c>
    </row>
    <row r="26" spans="2:8" x14ac:dyDescent="0.3">
      <c r="B26" s="679" t="s">
        <v>260</v>
      </c>
      <c r="C26" s="678" t="s">
        <v>268</v>
      </c>
      <c r="D26" s="677">
        <v>46036</v>
      </c>
      <c r="E26" s="677">
        <v>46043</v>
      </c>
      <c r="F26" s="676">
        <v>65</v>
      </c>
      <c r="G26" s="675">
        <v>72</v>
      </c>
      <c r="H26" s="674" t="s">
        <v>1230</v>
      </c>
    </row>
    <row r="27" spans="2:8" x14ac:dyDescent="0.3">
      <c r="B27" s="673" t="s">
        <v>62</v>
      </c>
      <c r="C27" s="672" t="s">
        <v>273</v>
      </c>
      <c r="D27" s="671">
        <v>46040</v>
      </c>
      <c r="E27" s="671">
        <v>46047</v>
      </c>
      <c r="F27" s="670">
        <v>61</v>
      </c>
      <c r="G27" s="669">
        <v>68</v>
      </c>
      <c r="H27" s="668" t="s">
        <v>1230</v>
      </c>
    </row>
    <row r="28" spans="2:8" x14ac:dyDescent="0.3">
      <c r="B28" s="679" t="s">
        <v>275</v>
      </c>
      <c r="C28" s="678" t="s">
        <v>276</v>
      </c>
      <c r="D28" s="677">
        <v>46042</v>
      </c>
      <c r="E28" s="677">
        <v>46049</v>
      </c>
      <c r="F28" s="676">
        <v>59</v>
      </c>
      <c r="G28" s="675">
        <v>66</v>
      </c>
      <c r="H28" s="674" t="s">
        <v>1230</v>
      </c>
    </row>
    <row r="29" spans="2:8" x14ac:dyDescent="0.3">
      <c r="B29" s="673" t="s">
        <v>76</v>
      </c>
      <c r="C29" s="672" t="s">
        <v>288</v>
      </c>
      <c r="D29" s="671">
        <v>46053</v>
      </c>
      <c r="E29" s="671">
        <v>46060</v>
      </c>
      <c r="F29" s="670">
        <v>48</v>
      </c>
      <c r="G29" s="669">
        <v>55</v>
      </c>
      <c r="H29" s="668" t="s">
        <v>1230</v>
      </c>
    </row>
    <row r="30" spans="2:8" x14ac:dyDescent="0.3">
      <c r="B30" s="679" t="s">
        <v>291</v>
      </c>
      <c r="C30" s="678" t="s">
        <v>292</v>
      </c>
      <c r="D30" s="677">
        <v>46055</v>
      </c>
      <c r="E30" s="677">
        <v>46062</v>
      </c>
      <c r="F30" s="676">
        <v>46</v>
      </c>
      <c r="G30" s="675">
        <v>53</v>
      </c>
      <c r="H30" s="674" t="s">
        <v>1230</v>
      </c>
    </row>
    <row r="31" spans="2:8" x14ac:dyDescent="0.3">
      <c r="B31" s="673" t="s">
        <v>260</v>
      </c>
      <c r="C31" s="672" t="s">
        <v>299</v>
      </c>
      <c r="D31" s="671">
        <v>46062</v>
      </c>
      <c r="E31" s="671">
        <v>46069</v>
      </c>
      <c r="F31" s="670">
        <v>39</v>
      </c>
      <c r="G31" s="669">
        <v>46</v>
      </c>
      <c r="H31" s="668" t="s">
        <v>1230</v>
      </c>
    </row>
    <row r="33" spans="2:8" x14ac:dyDescent="0.3">
      <c r="B33" s="755" t="s">
        <v>1229</v>
      </c>
      <c r="C33" s="751"/>
      <c r="D33" s="751"/>
      <c r="E33" s="751"/>
      <c r="F33" s="751"/>
      <c r="G33" s="751"/>
      <c r="H33" s="752"/>
    </row>
    <row r="34" spans="2:8" ht="26.4" x14ac:dyDescent="0.3">
      <c r="B34" s="667" t="s">
        <v>416</v>
      </c>
      <c r="C34" s="667" t="s">
        <v>238</v>
      </c>
      <c r="D34" s="667" t="s">
        <v>762</v>
      </c>
      <c r="E34" s="667" t="s">
        <v>763</v>
      </c>
      <c r="F34" s="667" t="s">
        <v>764</v>
      </c>
      <c r="G34" s="667" t="s">
        <v>1224</v>
      </c>
      <c r="H34" s="667" t="s">
        <v>1226</v>
      </c>
    </row>
    <row r="35" spans="2:8" x14ac:dyDescent="0.3">
      <c r="B35" s="660" t="s">
        <v>242</v>
      </c>
      <c r="C35" s="659" t="s">
        <v>243</v>
      </c>
      <c r="D35" s="658">
        <v>46023</v>
      </c>
      <c r="E35" s="658">
        <v>46030</v>
      </c>
      <c r="F35" s="657">
        <v>78</v>
      </c>
      <c r="G35" s="656">
        <v>85</v>
      </c>
      <c r="H35" s="655" t="s">
        <v>1228</v>
      </c>
    </row>
    <row r="36" spans="2:8" x14ac:dyDescent="0.3">
      <c r="B36" s="666" t="s">
        <v>248</v>
      </c>
      <c r="C36" s="665" t="s">
        <v>249</v>
      </c>
      <c r="D36" s="664">
        <v>46025</v>
      </c>
      <c r="E36" s="664">
        <v>46032</v>
      </c>
      <c r="F36" s="663">
        <v>76</v>
      </c>
      <c r="G36" s="662">
        <v>83</v>
      </c>
      <c r="H36" s="661" t="s">
        <v>1228</v>
      </c>
    </row>
    <row r="37" spans="2:8" x14ac:dyDescent="0.3">
      <c r="B37" s="660" t="s">
        <v>245</v>
      </c>
      <c r="C37" s="659" t="s">
        <v>250</v>
      </c>
      <c r="D37" s="658">
        <v>46026</v>
      </c>
      <c r="E37" s="658">
        <v>46033</v>
      </c>
      <c r="F37" s="657">
        <v>75</v>
      </c>
      <c r="G37" s="656">
        <v>82</v>
      </c>
      <c r="H37" s="655" t="s">
        <v>1228</v>
      </c>
    </row>
    <row r="38" spans="2:8" x14ac:dyDescent="0.3">
      <c r="B38" s="666" t="s">
        <v>258</v>
      </c>
      <c r="C38" s="665" t="s">
        <v>259</v>
      </c>
      <c r="D38" s="664">
        <v>46031</v>
      </c>
      <c r="E38" s="664">
        <v>46038</v>
      </c>
      <c r="F38" s="663">
        <v>70</v>
      </c>
      <c r="G38" s="662">
        <v>77</v>
      </c>
      <c r="H38" s="661" t="s">
        <v>1228</v>
      </c>
    </row>
    <row r="39" spans="2:8" x14ac:dyDescent="0.3">
      <c r="B39" s="660" t="s">
        <v>262</v>
      </c>
      <c r="C39" s="659" t="s">
        <v>263</v>
      </c>
      <c r="D39" s="658">
        <v>46033</v>
      </c>
      <c r="E39" s="658">
        <v>46040</v>
      </c>
      <c r="F39" s="657">
        <v>68</v>
      </c>
      <c r="G39" s="656">
        <v>75</v>
      </c>
      <c r="H39" s="655" t="s">
        <v>1228</v>
      </c>
    </row>
    <row r="40" spans="2:8" x14ac:dyDescent="0.3">
      <c r="B40" s="666" t="s">
        <v>270</v>
      </c>
      <c r="C40" s="665" t="s">
        <v>271</v>
      </c>
      <c r="D40" s="664">
        <v>46038</v>
      </c>
      <c r="E40" s="664">
        <v>46045</v>
      </c>
      <c r="F40" s="663">
        <v>63</v>
      </c>
      <c r="G40" s="662">
        <v>70</v>
      </c>
      <c r="H40" s="661" t="s">
        <v>1228</v>
      </c>
    </row>
    <row r="41" spans="2:8" x14ac:dyDescent="0.3">
      <c r="B41" s="660" t="s">
        <v>119</v>
      </c>
      <c r="C41" s="659" t="s">
        <v>277</v>
      </c>
      <c r="D41" s="658">
        <v>46043</v>
      </c>
      <c r="E41" s="658">
        <v>46050</v>
      </c>
      <c r="F41" s="657">
        <v>58</v>
      </c>
      <c r="G41" s="656">
        <v>65</v>
      </c>
      <c r="H41" s="655" t="s">
        <v>1228</v>
      </c>
    </row>
    <row r="42" spans="2:8" x14ac:dyDescent="0.3">
      <c r="B42" s="666" t="s">
        <v>76</v>
      </c>
      <c r="C42" s="665" t="s">
        <v>284</v>
      </c>
      <c r="D42" s="664">
        <v>46050</v>
      </c>
      <c r="E42" s="664">
        <v>46057</v>
      </c>
      <c r="F42" s="663">
        <v>51</v>
      </c>
      <c r="G42" s="662">
        <v>58</v>
      </c>
      <c r="H42" s="661" t="s">
        <v>1228</v>
      </c>
    </row>
    <row r="43" spans="2:8" x14ac:dyDescent="0.3">
      <c r="B43" s="660" t="s">
        <v>62</v>
      </c>
      <c r="C43" s="659" t="s">
        <v>287</v>
      </c>
      <c r="D43" s="658">
        <v>46052</v>
      </c>
      <c r="E43" s="658">
        <v>46059</v>
      </c>
      <c r="F43" s="657">
        <v>49</v>
      </c>
      <c r="G43" s="656">
        <v>56</v>
      </c>
      <c r="H43" s="655" t="s">
        <v>1228</v>
      </c>
    </row>
    <row r="45" spans="2:8" x14ac:dyDescent="0.3">
      <c r="B45" s="756" t="s">
        <v>1227</v>
      </c>
      <c r="C45" s="751"/>
      <c r="D45" s="751"/>
      <c r="E45" s="751"/>
      <c r="F45" s="751"/>
      <c r="G45" s="751"/>
      <c r="H45" s="752"/>
    </row>
    <row r="46" spans="2:8" ht="26.4" x14ac:dyDescent="0.3">
      <c r="B46" s="654" t="s">
        <v>416</v>
      </c>
      <c r="C46" s="654" t="s">
        <v>238</v>
      </c>
      <c r="D46" s="654" t="s">
        <v>762</v>
      </c>
      <c r="E46" s="654" t="s">
        <v>763</v>
      </c>
      <c r="F46" s="654" t="s">
        <v>764</v>
      </c>
      <c r="G46" s="654" t="s">
        <v>1224</v>
      </c>
      <c r="H46" s="654" t="s">
        <v>1226</v>
      </c>
    </row>
    <row r="47" spans="2:8" x14ac:dyDescent="0.3">
      <c r="B47" s="647" t="s">
        <v>48</v>
      </c>
      <c r="C47" s="646" t="s">
        <v>251</v>
      </c>
      <c r="D47" s="645">
        <v>46027</v>
      </c>
      <c r="E47" s="645">
        <v>46034</v>
      </c>
      <c r="F47" s="644">
        <v>74</v>
      </c>
      <c r="G47" s="643">
        <v>81</v>
      </c>
      <c r="H47" s="642" t="s">
        <v>1225</v>
      </c>
    </row>
    <row r="48" spans="2:8" x14ac:dyDescent="0.3">
      <c r="B48" s="653" t="s">
        <v>248</v>
      </c>
      <c r="C48" s="652" t="s">
        <v>255</v>
      </c>
      <c r="D48" s="651">
        <v>46029</v>
      </c>
      <c r="E48" s="651">
        <v>46036</v>
      </c>
      <c r="F48" s="650">
        <v>72</v>
      </c>
      <c r="G48" s="649">
        <v>79</v>
      </c>
      <c r="H48" s="648" t="s">
        <v>1225</v>
      </c>
    </row>
    <row r="49" spans="2:8" x14ac:dyDescent="0.3">
      <c r="B49" s="647" t="s">
        <v>256</v>
      </c>
      <c r="C49" s="646" t="s">
        <v>257</v>
      </c>
      <c r="D49" s="645">
        <v>46030</v>
      </c>
      <c r="E49" s="645">
        <v>46037</v>
      </c>
      <c r="F49" s="644">
        <v>71</v>
      </c>
      <c r="G49" s="643">
        <v>78</v>
      </c>
      <c r="H49" s="642" t="s">
        <v>1225</v>
      </c>
    </row>
    <row r="50" spans="2:8" x14ac:dyDescent="0.3">
      <c r="B50" s="653" t="s">
        <v>260</v>
      </c>
      <c r="C50" s="652" t="s">
        <v>261</v>
      </c>
      <c r="D50" s="651">
        <v>46032</v>
      </c>
      <c r="E50" s="651">
        <v>46039</v>
      </c>
      <c r="F50" s="650">
        <v>69</v>
      </c>
      <c r="G50" s="649">
        <v>76</v>
      </c>
      <c r="H50" s="648" t="s">
        <v>1225</v>
      </c>
    </row>
    <row r="51" spans="2:8" x14ac:dyDescent="0.3">
      <c r="B51" s="647" t="s">
        <v>43</v>
      </c>
      <c r="C51" s="646" t="s">
        <v>272</v>
      </c>
      <c r="D51" s="645">
        <v>46039</v>
      </c>
      <c r="E51" s="645">
        <v>46046</v>
      </c>
      <c r="F51" s="644">
        <v>62</v>
      </c>
      <c r="G51" s="643">
        <v>69</v>
      </c>
      <c r="H51" s="642" t="s">
        <v>1225</v>
      </c>
    </row>
    <row r="52" spans="2:8" x14ac:dyDescent="0.3">
      <c r="B52" s="653" t="s">
        <v>30</v>
      </c>
      <c r="C52" s="652" t="s">
        <v>274</v>
      </c>
      <c r="D52" s="651">
        <v>46041</v>
      </c>
      <c r="E52" s="651">
        <v>46048</v>
      </c>
      <c r="F52" s="650">
        <v>60</v>
      </c>
      <c r="G52" s="649">
        <v>67</v>
      </c>
      <c r="H52" s="648" t="s">
        <v>1225</v>
      </c>
    </row>
    <row r="53" spans="2:8" x14ac:dyDescent="0.3">
      <c r="B53" s="647" t="s">
        <v>270</v>
      </c>
      <c r="C53" s="646" t="s">
        <v>278</v>
      </c>
      <c r="D53" s="645">
        <v>46044</v>
      </c>
      <c r="E53" s="645">
        <v>46051</v>
      </c>
      <c r="F53" s="644">
        <v>57</v>
      </c>
      <c r="G53" s="643">
        <v>64</v>
      </c>
      <c r="H53" s="642" t="s">
        <v>1225</v>
      </c>
    </row>
    <row r="54" spans="2:8" x14ac:dyDescent="0.3">
      <c r="B54" s="653" t="s">
        <v>57</v>
      </c>
      <c r="C54" s="652" t="s">
        <v>279</v>
      </c>
      <c r="D54" s="651">
        <v>46045</v>
      </c>
      <c r="E54" s="651">
        <v>46052</v>
      </c>
      <c r="F54" s="650">
        <v>56</v>
      </c>
      <c r="G54" s="649">
        <v>63</v>
      </c>
      <c r="H54" s="648" t="s">
        <v>1225</v>
      </c>
    </row>
    <row r="55" spans="2:8" x14ac:dyDescent="0.3">
      <c r="B55" s="647" t="s">
        <v>57</v>
      </c>
      <c r="C55" s="646" t="s">
        <v>280</v>
      </c>
      <c r="D55" s="645">
        <v>46046</v>
      </c>
      <c r="E55" s="645">
        <v>46053</v>
      </c>
      <c r="F55" s="644">
        <v>55</v>
      </c>
      <c r="G55" s="643">
        <v>62</v>
      </c>
      <c r="H55" s="642" t="s">
        <v>1225</v>
      </c>
    </row>
    <row r="56" spans="2:8" x14ac:dyDescent="0.3">
      <c r="B56" s="653" t="s">
        <v>16</v>
      </c>
      <c r="C56" s="652" t="s">
        <v>283</v>
      </c>
      <c r="D56" s="651">
        <v>46049</v>
      </c>
      <c r="E56" s="651">
        <v>46056</v>
      </c>
      <c r="F56" s="650">
        <v>52</v>
      </c>
      <c r="G56" s="649">
        <v>59</v>
      </c>
      <c r="H56" s="648" t="s">
        <v>1225</v>
      </c>
    </row>
    <row r="57" spans="2:8" x14ac:dyDescent="0.3">
      <c r="B57" s="647" t="s">
        <v>36</v>
      </c>
      <c r="C57" s="646" t="s">
        <v>296</v>
      </c>
      <c r="D57" s="645">
        <v>46059</v>
      </c>
      <c r="E57" s="645">
        <v>46066</v>
      </c>
      <c r="F57" s="644">
        <v>42</v>
      </c>
      <c r="G57" s="643">
        <v>49</v>
      </c>
      <c r="H57" s="642" t="s">
        <v>1225</v>
      </c>
    </row>
  </sheetData>
  <mergeCells count="6">
    <mergeCell ref="B17:H17"/>
    <mergeCell ref="B4:H4"/>
    <mergeCell ref="B2:H2"/>
    <mergeCell ref="B33:H33"/>
    <mergeCell ref="B45:H45"/>
    <mergeCell ref="B23:H23"/>
  </mergeCells>
  <conditionalFormatting sqref="F6:F15">
    <cfRule type="dataBar" priority="1">
      <dataBar>
        <cfvo type="num" val="0"/>
        <cfvo type="num" val="80"/>
        <color rgb="FFBF8F00"/>
      </dataBar>
    </cfRule>
  </conditionalFormatting>
  <conditionalFormatting sqref="F19:F21">
    <cfRule type="dataBar" priority="3">
      <dataBar>
        <cfvo type="num" val="0"/>
        <cfvo type="num" val="80"/>
        <color rgb="FF2E75B6"/>
      </dataBar>
    </cfRule>
  </conditionalFormatting>
  <conditionalFormatting sqref="F25:F31">
    <cfRule type="dataBar" priority="5">
      <dataBar>
        <cfvo type="num" val="0"/>
        <cfvo type="num" val="80"/>
        <color rgb="FF5E35B1"/>
      </dataBar>
    </cfRule>
  </conditionalFormatting>
  <conditionalFormatting sqref="F35:F43">
    <cfRule type="dataBar" priority="7">
      <dataBar>
        <cfvo type="num" val="0"/>
        <cfvo type="num" val="80"/>
        <color rgb="FFC00000"/>
      </dataBar>
    </cfRule>
  </conditionalFormatting>
  <conditionalFormatting sqref="F47:F57">
    <cfRule type="dataBar" priority="9">
      <dataBar>
        <cfvo type="num" val="0"/>
        <cfvo type="num" val="80"/>
        <color rgb="FF375623"/>
      </dataBar>
    </cfRule>
  </conditionalFormatting>
  <conditionalFormatting sqref="G6:G15">
    <cfRule type="colorScale" priority="2">
      <colorScale>
        <cfvo type="min"/>
        <cfvo type="max"/>
        <color rgb="FFFFF2CC"/>
        <color rgb="FFBF8F00"/>
      </colorScale>
    </cfRule>
  </conditionalFormatting>
  <conditionalFormatting sqref="G19:G21">
    <cfRule type="colorScale" priority="4">
      <colorScale>
        <cfvo type="min"/>
        <cfvo type="max"/>
        <color rgb="FFDEEAF1"/>
        <color rgb="FF2E75B6"/>
      </colorScale>
    </cfRule>
  </conditionalFormatting>
  <conditionalFormatting sqref="G25:G31">
    <cfRule type="colorScale" priority="6">
      <colorScale>
        <cfvo type="min"/>
        <cfvo type="max"/>
        <color rgb="FFEDE7F6"/>
        <color rgb="FF5E35B1"/>
      </colorScale>
    </cfRule>
  </conditionalFormatting>
  <conditionalFormatting sqref="G35:G43">
    <cfRule type="colorScale" priority="8">
      <colorScale>
        <cfvo type="min"/>
        <cfvo type="max"/>
        <color rgb="FFFFE0E0"/>
        <color rgb="FFC00000"/>
      </colorScale>
    </cfRule>
  </conditionalFormatting>
  <conditionalFormatting sqref="G47:G57">
    <cfRule type="colorScale" priority="10">
      <colorScale>
        <cfvo type="min"/>
        <cfvo type="max"/>
        <color rgb="FFE2EFDA"/>
        <color rgb="FF375623"/>
      </colorScale>
    </cfRule>
  </conditionalFormatting>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C7"/>
  <sheetViews>
    <sheetView workbookViewId="0"/>
  </sheetViews>
  <sheetFormatPr defaultRowHeight="14.4" x14ac:dyDescent="0.3"/>
  <cols>
    <col min="1" max="3" width="19" customWidth="1"/>
  </cols>
  <sheetData>
    <row r="1" spans="1:3" x14ac:dyDescent="0.3">
      <c r="A1" t="s">
        <v>104</v>
      </c>
      <c r="B1" t="s">
        <v>312</v>
      </c>
      <c r="C1" t="s">
        <v>313</v>
      </c>
    </row>
    <row r="2" spans="1:3" x14ac:dyDescent="0.3">
      <c r="A2" t="s">
        <v>111</v>
      </c>
      <c r="B2">
        <v>59375</v>
      </c>
      <c r="C2">
        <v>40955</v>
      </c>
    </row>
    <row r="3" spans="1:3" x14ac:dyDescent="0.3">
      <c r="A3" t="s">
        <v>124</v>
      </c>
      <c r="B3">
        <v>71817</v>
      </c>
      <c r="C3">
        <v>60111</v>
      </c>
    </row>
    <row r="4" spans="1:3" x14ac:dyDescent="0.3">
      <c r="A4" t="s">
        <v>113</v>
      </c>
      <c r="B4">
        <v>61800</v>
      </c>
      <c r="C4">
        <v>27760</v>
      </c>
    </row>
    <row r="5" spans="1:3" x14ac:dyDescent="0.3">
      <c r="A5" t="s">
        <v>114</v>
      </c>
      <c r="B5">
        <v>69924</v>
      </c>
      <c r="C5">
        <v>47780</v>
      </c>
    </row>
    <row r="6" spans="1:3" x14ac:dyDescent="0.3">
      <c r="A6" t="s">
        <v>109</v>
      </c>
      <c r="B6">
        <v>63020</v>
      </c>
      <c r="C6">
        <v>70302</v>
      </c>
    </row>
    <row r="7" spans="1:3" x14ac:dyDescent="0.3">
      <c r="A7" t="s">
        <v>116</v>
      </c>
      <c r="B7">
        <v>48568</v>
      </c>
      <c r="C7">
        <v>63330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1975-220B-4380-97AF-1CAD3B6D2BC3}">
  <sheetPr>
    <tabColor theme="4" tint="0.79998168889431442"/>
  </sheetPr>
  <dimension ref="A1:I28"/>
  <sheetViews>
    <sheetView zoomScale="90" workbookViewId="0">
      <pane ySplit="9" topLeftCell="A10" activePane="bottomLeft" state="frozen"/>
      <selection sqref="A1:K1"/>
      <selection pane="bottomLeft" activeCell="A10" sqref="A10"/>
    </sheetView>
  </sheetViews>
  <sheetFormatPr defaultRowHeight="14.4" x14ac:dyDescent="0.3"/>
  <cols>
    <col min="1" max="9" width="19.5546875" customWidth="1"/>
  </cols>
  <sheetData>
    <row r="1" spans="1:9" ht="22.2" customHeight="1" x14ac:dyDescent="0.3">
      <c r="A1" s="743" t="s">
        <v>817</v>
      </c>
      <c r="B1" s="708"/>
      <c r="C1" s="708"/>
      <c r="D1" s="708"/>
      <c r="E1" s="708"/>
      <c r="F1" s="708"/>
      <c r="G1" s="708"/>
      <c r="H1" s="708"/>
      <c r="I1" s="708"/>
    </row>
    <row r="2" spans="1:9" ht="24.6" customHeight="1" x14ac:dyDescent="0.3">
      <c r="A2" s="744" t="s">
        <v>818</v>
      </c>
      <c r="B2" s="708"/>
      <c r="C2" s="708"/>
      <c r="D2" s="708"/>
      <c r="E2" s="708"/>
      <c r="F2" s="708"/>
      <c r="G2" s="708"/>
      <c r="H2" s="708"/>
      <c r="I2" s="708"/>
    </row>
    <row r="3" spans="1:9" ht="15" thickBot="1" x14ac:dyDescent="0.35"/>
    <row r="4" spans="1:9" ht="15" thickBot="1" x14ac:dyDescent="0.35">
      <c r="A4" s="745" t="s">
        <v>819</v>
      </c>
      <c r="B4" s="708"/>
      <c r="C4" s="761" t="s">
        <v>820</v>
      </c>
      <c r="D4" s="708"/>
      <c r="E4" s="762" t="s">
        <v>821</v>
      </c>
      <c r="F4" s="708"/>
      <c r="G4" s="762" t="s">
        <v>822</v>
      </c>
      <c r="H4" s="708"/>
      <c r="I4" s="746" t="s">
        <v>823</v>
      </c>
    </row>
    <row r="5" spans="1:9" x14ac:dyDescent="0.3">
      <c r="A5" s="708"/>
      <c r="B5" s="708"/>
      <c r="C5" s="708"/>
      <c r="D5" s="708"/>
      <c r="E5" s="708"/>
      <c r="F5" s="708"/>
      <c r="G5" s="708"/>
      <c r="H5" s="708"/>
      <c r="I5" s="708"/>
    </row>
    <row r="6" spans="1:9" x14ac:dyDescent="0.3">
      <c r="A6" s="708"/>
      <c r="B6" s="708"/>
      <c r="C6" s="708"/>
      <c r="D6" s="708"/>
      <c r="E6" s="708"/>
      <c r="F6" s="708"/>
      <c r="G6" s="708"/>
      <c r="H6" s="708"/>
      <c r="I6" s="708"/>
    </row>
    <row r="8" spans="1:9" x14ac:dyDescent="0.3">
      <c r="A8" s="758" t="s">
        <v>824</v>
      </c>
      <c r="B8" s="708"/>
      <c r="C8" s="708"/>
      <c r="D8" s="708"/>
      <c r="E8" s="708"/>
      <c r="F8" s="708"/>
      <c r="G8" s="708"/>
      <c r="H8" s="708"/>
      <c r="I8" s="708"/>
    </row>
    <row r="9" spans="1:9" x14ac:dyDescent="0.3">
      <c r="A9" s="407" t="s">
        <v>825</v>
      </c>
      <c r="B9" s="407" t="s">
        <v>826</v>
      </c>
      <c r="C9" s="407" t="s">
        <v>827</v>
      </c>
      <c r="D9" s="407" t="s">
        <v>828</v>
      </c>
      <c r="E9" s="407" t="s">
        <v>829</v>
      </c>
      <c r="F9" s="407" t="s">
        <v>830</v>
      </c>
      <c r="G9" s="407" t="s">
        <v>240</v>
      </c>
      <c r="H9" s="407" t="s">
        <v>831</v>
      </c>
      <c r="I9" s="407" t="s">
        <v>832</v>
      </c>
    </row>
    <row r="10" spans="1:9" x14ac:dyDescent="0.3">
      <c r="A10" s="425" t="s">
        <v>116</v>
      </c>
      <c r="B10" s="426" t="s">
        <v>833</v>
      </c>
      <c r="C10" s="427" t="s">
        <v>834</v>
      </c>
      <c r="D10" s="427" t="s">
        <v>835</v>
      </c>
      <c r="E10" s="408" t="s">
        <v>836</v>
      </c>
      <c r="F10" s="428" t="s">
        <v>837</v>
      </c>
      <c r="G10" s="416" t="s">
        <v>838</v>
      </c>
      <c r="H10" s="429" t="s">
        <v>839</v>
      </c>
      <c r="I10" s="410" t="s">
        <v>840</v>
      </c>
    </row>
    <row r="11" spans="1:9" x14ac:dyDescent="0.3">
      <c r="A11" s="430" t="s">
        <v>109</v>
      </c>
      <c r="B11" s="426" t="s">
        <v>841</v>
      </c>
      <c r="C11" s="427" t="s">
        <v>842</v>
      </c>
      <c r="D11" s="427" t="s">
        <v>843</v>
      </c>
      <c r="E11" s="408" t="s">
        <v>844</v>
      </c>
      <c r="F11" s="428" t="s">
        <v>845</v>
      </c>
      <c r="G11" s="416" t="s">
        <v>838</v>
      </c>
      <c r="H11" s="429" t="s">
        <v>839</v>
      </c>
      <c r="I11" s="410" t="s">
        <v>840</v>
      </c>
    </row>
    <row r="12" spans="1:9" x14ac:dyDescent="0.3">
      <c r="A12" s="431" t="s">
        <v>124</v>
      </c>
      <c r="B12" s="432" t="s">
        <v>846</v>
      </c>
      <c r="C12" s="433" t="s">
        <v>847</v>
      </c>
      <c r="D12" s="433" t="s">
        <v>848</v>
      </c>
      <c r="E12" s="434" t="s">
        <v>849</v>
      </c>
      <c r="F12" s="423" t="s">
        <v>850</v>
      </c>
      <c r="G12" s="422" t="s">
        <v>851</v>
      </c>
      <c r="H12" s="435" t="s">
        <v>852</v>
      </c>
      <c r="I12" s="436" t="s">
        <v>853</v>
      </c>
    </row>
    <row r="13" spans="1:9" x14ac:dyDescent="0.3">
      <c r="A13" s="437" t="s">
        <v>111</v>
      </c>
      <c r="B13" s="432" t="s">
        <v>854</v>
      </c>
      <c r="C13" s="433" t="s">
        <v>855</v>
      </c>
      <c r="D13" s="433" t="s">
        <v>856</v>
      </c>
      <c r="E13" s="434" t="s">
        <v>857</v>
      </c>
      <c r="F13" s="423" t="s">
        <v>858</v>
      </c>
      <c r="G13" s="422" t="s">
        <v>851</v>
      </c>
      <c r="H13" s="435" t="s">
        <v>859</v>
      </c>
      <c r="I13" s="436" t="s">
        <v>853</v>
      </c>
    </row>
    <row r="14" spans="1:9" x14ac:dyDescent="0.3">
      <c r="A14" s="438" t="s">
        <v>114</v>
      </c>
      <c r="B14" s="432" t="s">
        <v>860</v>
      </c>
      <c r="C14" s="433" t="s">
        <v>861</v>
      </c>
      <c r="D14" s="433" t="s">
        <v>862</v>
      </c>
      <c r="E14" s="434" t="s">
        <v>863</v>
      </c>
      <c r="F14" s="423" t="s">
        <v>864</v>
      </c>
      <c r="G14" s="422" t="s">
        <v>851</v>
      </c>
      <c r="H14" s="435" t="s">
        <v>859</v>
      </c>
      <c r="I14" s="436" t="s">
        <v>853</v>
      </c>
    </row>
    <row r="15" spans="1:9" x14ac:dyDescent="0.3">
      <c r="A15" s="439" t="s">
        <v>113</v>
      </c>
      <c r="B15" s="432" t="s">
        <v>865</v>
      </c>
      <c r="C15" s="433" t="s">
        <v>866</v>
      </c>
      <c r="D15" s="433" t="s">
        <v>867</v>
      </c>
      <c r="E15" s="434" t="s">
        <v>868</v>
      </c>
      <c r="F15" s="423" t="s">
        <v>869</v>
      </c>
      <c r="G15" s="422" t="s">
        <v>851</v>
      </c>
      <c r="H15" s="435" t="s">
        <v>870</v>
      </c>
      <c r="I15" s="436" t="s">
        <v>853</v>
      </c>
    </row>
    <row r="16" spans="1:9" x14ac:dyDescent="0.3">
      <c r="A16" s="440" t="s">
        <v>715</v>
      </c>
      <c r="B16" s="409" t="s">
        <v>871</v>
      </c>
      <c r="C16" s="409" t="s">
        <v>872</v>
      </c>
      <c r="D16" s="409" t="s">
        <v>873</v>
      </c>
      <c r="E16" s="409" t="s">
        <v>874</v>
      </c>
      <c r="F16" s="409" t="s">
        <v>875</v>
      </c>
      <c r="G16" s="409"/>
      <c r="H16" s="409"/>
      <c r="I16" s="409"/>
    </row>
    <row r="18" spans="1:9" x14ac:dyDescent="0.3">
      <c r="A18" s="759" t="s">
        <v>876</v>
      </c>
      <c r="B18" s="708"/>
      <c r="C18" s="708"/>
      <c r="D18" s="708"/>
      <c r="E18" s="708"/>
      <c r="F18" s="708"/>
      <c r="G18" s="708"/>
      <c r="H18" s="708"/>
      <c r="I18" s="708"/>
    </row>
    <row r="19" spans="1:9" x14ac:dyDescent="0.3">
      <c r="A19" s="441" t="s">
        <v>104</v>
      </c>
      <c r="B19" s="441" t="s">
        <v>826</v>
      </c>
      <c r="C19" s="441" t="s">
        <v>827</v>
      </c>
      <c r="D19" s="441" t="s">
        <v>877</v>
      </c>
      <c r="E19" s="441" t="s">
        <v>878</v>
      </c>
      <c r="F19" s="441" t="s">
        <v>830</v>
      </c>
      <c r="G19" s="441" t="s">
        <v>879</v>
      </c>
      <c r="H19" s="441" t="s">
        <v>880</v>
      </c>
    </row>
    <row r="20" spans="1:9" ht="26.4" x14ac:dyDescent="0.3">
      <c r="A20" s="425" t="s">
        <v>116</v>
      </c>
      <c r="B20" s="442" t="s">
        <v>833</v>
      </c>
      <c r="C20" s="408" t="s">
        <v>834</v>
      </c>
      <c r="D20" s="408" t="s">
        <v>881</v>
      </c>
      <c r="E20" s="408" t="s">
        <v>882</v>
      </c>
      <c r="F20" s="428" t="s">
        <v>837</v>
      </c>
      <c r="G20" s="443" t="s">
        <v>753</v>
      </c>
      <c r="H20" s="407" t="s">
        <v>883</v>
      </c>
    </row>
    <row r="21" spans="1:9" ht="26.4" x14ac:dyDescent="0.3">
      <c r="A21" s="430" t="s">
        <v>109</v>
      </c>
      <c r="B21" s="442" t="s">
        <v>841</v>
      </c>
      <c r="C21" s="408" t="s">
        <v>842</v>
      </c>
      <c r="D21" s="408" t="s">
        <v>884</v>
      </c>
      <c r="E21" s="408" t="s">
        <v>885</v>
      </c>
      <c r="F21" s="428" t="s">
        <v>845</v>
      </c>
      <c r="G21" s="444" t="s">
        <v>754</v>
      </c>
      <c r="H21" s="407" t="s">
        <v>886</v>
      </c>
    </row>
    <row r="23" spans="1:9" x14ac:dyDescent="0.3">
      <c r="A23" s="760" t="s">
        <v>887</v>
      </c>
      <c r="B23" s="708"/>
      <c r="C23" s="708"/>
      <c r="D23" s="708"/>
      <c r="E23" s="708"/>
      <c r="F23" s="708"/>
      <c r="G23" s="708"/>
      <c r="H23" s="708"/>
      <c r="I23" s="708"/>
    </row>
    <row r="24" spans="1:9" x14ac:dyDescent="0.3">
      <c r="A24" s="434" t="s">
        <v>104</v>
      </c>
      <c r="B24" s="434" t="s">
        <v>826</v>
      </c>
      <c r="C24" s="434" t="s">
        <v>827</v>
      </c>
      <c r="D24" s="434" t="s">
        <v>888</v>
      </c>
      <c r="E24" s="434" t="s">
        <v>889</v>
      </c>
      <c r="F24" s="434" t="s">
        <v>830</v>
      </c>
      <c r="G24" s="434" t="s">
        <v>890</v>
      </c>
      <c r="H24" s="434" t="s">
        <v>891</v>
      </c>
    </row>
    <row r="25" spans="1:9" x14ac:dyDescent="0.3">
      <c r="A25" s="439" t="s">
        <v>113</v>
      </c>
      <c r="B25" s="445" t="s">
        <v>865</v>
      </c>
      <c r="C25" s="434" t="s">
        <v>866</v>
      </c>
      <c r="D25" s="434" t="s">
        <v>892</v>
      </c>
      <c r="E25" s="434" t="s">
        <v>893</v>
      </c>
      <c r="F25" s="423" t="s">
        <v>869</v>
      </c>
      <c r="G25" s="446" t="s">
        <v>894</v>
      </c>
      <c r="H25" s="447" t="s">
        <v>895</v>
      </c>
    </row>
    <row r="26" spans="1:9" x14ac:dyDescent="0.3">
      <c r="A26" s="438" t="s">
        <v>114</v>
      </c>
      <c r="B26" s="445" t="s">
        <v>860</v>
      </c>
      <c r="C26" s="434" t="s">
        <v>861</v>
      </c>
      <c r="D26" s="434" t="s">
        <v>896</v>
      </c>
      <c r="E26" s="434" t="s">
        <v>897</v>
      </c>
      <c r="F26" s="423" t="s">
        <v>864</v>
      </c>
      <c r="G26" s="446" t="s">
        <v>894</v>
      </c>
      <c r="H26" s="447" t="s">
        <v>895</v>
      </c>
    </row>
    <row r="27" spans="1:9" x14ac:dyDescent="0.3">
      <c r="A27" s="437" t="s">
        <v>111</v>
      </c>
      <c r="B27" s="445" t="s">
        <v>854</v>
      </c>
      <c r="C27" s="434" t="s">
        <v>855</v>
      </c>
      <c r="D27" s="434" t="s">
        <v>898</v>
      </c>
      <c r="E27" s="434" t="s">
        <v>899</v>
      </c>
      <c r="F27" s="423" t="s">
        <v>858</v>
      </c>
      <c r="G27" s="446" t="s">
        <v>894</v>
      </c>
      <c r="H27" s="447" t="s">
        <v>895</v>
      </c>
    </row>
    <row r="28" spans="1:9" x14ac:dyDescent="0.3">
      <c r="A28" s="431" t="s">
        <v>124</v>
      </c>
      <c r="B28" s="445" t="s">
        <v>846</v>
      </c>
      <c r="C28" s="434" t="s">
        <v>847</v>
      </c>
      <c r="D28" s="434" t="s">
        <v>900</v>
      </c>
      <c r="E28" s="434" t="s">
        <v>901</v>
      </c>
      <c r="F28" s="423" t="s">
        <v>850</v>
      </c>
      <c r="G28" s="446" t="s">
        <v>902</v>
      </c>
      <c r="H28" s="447" t="s">
        <v>895</v>
      </c>
    </row>
  </sheetData>
  <mergeCells count="10">
    <mergeCell ref="A8:I8"/>
    <mergeCell ref="A18:I18"/>
    <mergeCell ref="A23:I23"/>
    <mergeCell ref="A1:I1"/>
    <mergeCell ref="A2:I2"/>
    <mergeCell ref="A4:B6"/>
    <mergeCell ref="C4:D6"/>
    <mergeCell ref="E4:F6"/>
    <mergeCell ref="G4:H6"/>
    <mergeCell ref="I4:I6"/>
  </mergeCells>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2BD5-2BC2-4404-8D4C-7E9E492294C6}">
  <sheetPr>
    <tabColor theme="4" tint="0.79998168889431442"/>
  </sheetPr>
  <dimension ref="A1:K52"/>
  <sheetViews>
    <sheetView zoomScale="85" workbookViewId="0">
      <pane ySplit="10" topLeftCell="A11" activePane="bottomLeft" state="frozen"/>
      <selection pane="bottomLeft" activeCell="A11" sqref="A11"/>
    </sheetView>
  </sheetViews>
  <sheetFormatPr defaultRowHeight="14.4" x14ac:dyDescent="0.3"/>
  <cols>
    <col min="1" max="1" width="15" customWidth="1"/>
    <col min="2" max="3" width="14" customWidth="1"/>
    <col min="4" max="4" width="15" customWidth="1"/>
    <col min="5" max="5" width="12" customWidth="1"/>
    <col min="6" max="6" width="22" customWidth="1"/>
    <col min="7" max="7" width="13" customWidth="1"/>
    <col min="8" max="8" width="14" customWidth="1"/>
    <col min="9" max="9" width="16" customWidth="1"/>
    <col min="10" max="10" width="18" customWidth="1"/>
    <col min="11" max="11" width="26" customWidth="1"/>
  </cols>
  <sheetData>
    <row r="1" spans="1:11" ht="42" customHeight="1" x14ac:dyDescent="0.3">
      <c r="A1" s="763" t="s">
        <v>903</v>
      </c>
      <c r="B1" s="708"/>
      <c r="C1" s="708"/>
      <c r="D1" s="708"/>
      <c r="E1" s="708"/>
      <c r="F1" s="708"/>
      <c r="G1" s="708"/>
      <c r="H1" s="708"/>
      <c r="I1" s="708"/>
      <c r="J1" s="708"/>
      <c r="K1" s="708"/>
    </row>
    <row r="2" spans="1:11" ht="19.95" customHeight="1" x14ac:dyDescent="0.3">
      <c r="A2" s="744" t="s">
        <v>904</v>
      </c>
      <c r="B2" s="708"/>
      <c r="C2" s="708"/>
      <c r="D2" s="708"/>
      <c r="E2" s="708"/>
      <c r="F2" s="708"/>
      <c r="G2" s="708"/>
      <c r="H2" s="708"/>
      <c r="I2" s="708"/>
      <c r="J2" s="708"/>
      <c r="K2" s="708"/>
    </row>
    <row r="3" spans="1:11" ht="7.95" customHeight="1" thickBot="1" x14ac:dyDescent="0.35"/>
    <row r="4" spans="1:11" ht="18" customHeight="1" thickBot="1" x14ac:dyDescent="0.35">
      <c r="A4" s="745" t="s">
        <v>819</v>
      </c>
      <c r="B4" s="708"/>
      <c r="C4" s="764" t="s">
        <v>820</v>
      </c>
      <c r="D4" s="708"/>
      <c r="E4" s="762" t="s">
        <v>905</v>
      </c>
      <c r="F4" s="708"/>
      <c r="G4" s="762" t="s">
        <v>822</v>
      </c>
      <c r="H4" s="708"/>
      <c r="I4" s="762" t="s">
        <v>906</v>
      </c>
      <c r="J4" s="708"/>
      <c r="K4" s="746" t="s">
        <v>823</v>
      </c>
    </row>
    <row r="5" spans="1:11" ht="18" customHeight="1" x14ac:dyDescent="0.3">
      <c r="A5" s="708"/>
      <c r="B5" s="708"/>
      <c r="C5" s="708"/>
      <c r="D5" s="708"/>
      <c r="E5" s="708"/>
      <c r="F5" s="708"/>
      <c r="G5" s="708"/>
      <c r="H5" s="708"/>
      <c r="I5" s="708"/>
      <c r="J5" s="708"/>
      <c r="K5" s="708"/>
    </row>
    <row r="6" spans="1:11" ht="18" customHeight="1" x14ac:dyDescent="0.3">
      <c r="A6" s="708"/>
      <c r="B6" s="708"/>
      <c r="C6" s="708"/>
      <c r="D6" s="708"/>
      <c r="E6" s="708"/>
      <c r="F6" s="708"/>
      <c r="G6" s="708"/>
      <c r="H6" s="708"/>
      <c r="I6" s="708"/>
      <c r="J6" s="708"/>
      <c r="K6" s="708"/>
    </row>
    <row r="7" spans="1:11" ht="18" customHeight="1" x14ac:dyDescent="0.3">
      <c r="A7" s="708"/>
      <c r="B7" s="708"/>
      <c r="C7" s="708"/>
      <c r="D7" s="708"/>
      <c r="E7" s="708"/>
      <c r="F7" s="708"/>
      <c r="G7" s="708"/>
      <c r="H7" s="708"/>
      <c r="I7" s="708"/>
      <c r="J7" s="708"/>
      <c r="K7" s="708"/>
    </row>
    <row r="8" spans="1:11" ht="10.050000000000001" customHeight="1" x14ac:dyDescent="0.3"/>
    <row r="9" spans="1:11" ht="25.95" customHeight="1" x14ac:dyDescent="0.3">
      <c r="A9" s="758" t="s">
        <v>907</v>
      </c>
      <c r="B9" s="708"/>
      <c r="C9" s="708"/>
      <c r="D9" s="708"/>
      <c r="E9" s="708"/>
      <c r="F9" s="708"/>
      <c r="G9" s="708"/>
      <c r="H9" s="708"/>
      <c r="I9" s="708"/>
      <c r="J9" s="708"/>
      <c r="K9" s="708"/>
    </row>
    <row r="10" spans="1:11" ht="24" customHeight="1" x14ac:dyDescent="0.3">
      <c r="A10" s="407" t="s">
        <v>104</v>
      </c>
      <c r="B10" s="407" t="s">
        <v>826</v>
      </c>
      <c r="C10" s="407" t="s">
        <v>827</v>
      </c>
      <c r="D10" s="407" t="s">
        <v>828</v>
      </c>
      <c r="E10" s="407" t="s">
        <v>829</v>
      </c>
      <c r="F10" s="407" t="s">
        <v>830</v>
      </c>
      <c r="G10" s="407" t="s">
        <v>888</v>
      </c>
      <c r="H10" s="407" t="s">
        <v>877</v>
      </c>
      <c r="I10" s="407" t="s">
        <v>240</v>
      </c>
      <c r="J10" s="407" t="s">
        <v>890</v>
      </c>
      <c r="K10" s="407" t="s">
        <v>908</v>
      </c>
    </row>
    <row r="11" spans="1:11" ht="19.95" customHeight="1" x14ac:dyDescent="0.3">
      <c r="A11" s="448" t="s">
        <v>116</v>
      </c>
      <c r="B11" s="426" t="s">
        <v>833</v>
      </c>
      <c r="C11" s="427" t="s">
        <v>834</v>
      </c>
      <c r="D11" s="427" t="s">
        <v>835</v>
      </c>
      <c r="E11" s="408" t="s">
        <v>836</v>
      </c>
      <c r="F11" s="449" t="s">
        <v>909</v>
      </c>
      <c r="G11" s="450" t="s">
        <v>467</v>
      </c>
      <c r="H11" s="427" t="s">
        <v>881</v>
      </c>
      <c r="I11" s="410" t="s">
        <v>910</v>
      </c>
      <c r="J11" s="451" t="s">
        <v>911</v>
      </c>
      <c r="K11" s="452" t="s">
        <v>912</v>
      </c>
    </row>
    <row r="12" spans="1:11" ht="19.95" customHeight="1" x14ac:dyDescent="0.3">
      <c r="A12" s="453" t="s">
        <v>109</v>
      </c>
      <c r="B12" s="426" t="s">
        <v>841</v>
      </c>
      <c r="C12" s="427" t="s">
        <v>842</v>
      </c>
      <c r="D12" s="427" t="s">
        <v>843</v>
      </c>
      <c r="E12" s="408" t="s">
        <v>844</v>
      </c>
      <c r="F12" s="449" t="s">
        <v>913</v>
      </c>
      <c r="G12" s="450" t="s">
        <v>467</v>
      </c>
      <c r="H12" s="427" t="s">
        <v>884</v>
      </c>
      <c r="I12" s="410" t="s">
        <v>910</v>
      </c>
      <c r="J12" s="454" t="s">
        <v>914</v>
      </c>
      <c r="K12" s="452" t="s">
        <v>915</v>
      </c>
    </row>
    <row r="13" spans="1:11" ht="19.95" customHeight="1" x14ac:dyDescent="0.3">
      <c r="A13" s="455" t="s">
        <v>124</v>
      </c>
      <c r="B13" s="432" t="s">
        <v>846</v>
      </c>
      <c r="C13" s="433" t="s">
        <v>847</v>
      </c>
      <c r="D13" s="433" t="s">
        <v>848</v>
      </c>
      <c r="E13" s="434" t="s">
        <v>849</v>
      </c>
      <c r="F13" s="456" t="s">
        <v>916</v>
      </c>
      <c r="G13" s="433" t="s">
        <v>900</v>
      </c>
      <c r="H13" s="450" t="s">
        <v>467</v>
      </c>
      <c r="I13" s="436" t="s">
        <v>917</v>
      </c>
      <c r="J13" s="457" t="s">
        <v>918</v>
      </c>
      <c r="K13" s="452" t="s">
        <v>919</v>
      </c>
    </row>
    <row r="14" spans="1:11" ht="19.95" customHeight="1" x14ac:dyDescent="0.3">
      <c r="A14" s="458" t="s">
        <v>111</v>
      </c>
      <c r="B14" s="432" t="s">
        <v>854</v>
      </c>
      <c r="C14" s="433" t="s">
        <v>855</v>
      </c>
      <c r="D14" s="433" t="s">
        <v>856</v>
      </c>
      <c r="E14" s="434" t="s">
        <v>857</v>
      </c>
      <c r="F14" s="456" t="s">
        <v>920</v>
      </c>
      <c r="G14" s="433" t="s">
        <v>898</v>
      </c>
      <c r="H14" s="450" t="s">
        <v>467</v>
      </c>
      <c r="I14" s="436" t="s">
        <v>917</v>
      </c>
      <c r="J14" s="459" t="s">
        <v>921</v>
      </c>
      <c r="K14" s="452" t="s">
        <v>922</v>
      </c>
    </row>
    <row r="15" spans="1:11" ht="19.95" customHeight="1" x14ac:dyDescent="0.3">
      <c r="A15" s="460" t="s">
        <v>114</v>
      </c>
      <c r="B15" s="432" t="s">
        <v>860</v>
      </c>
      <c r="C15" s="433" t="s">
        <v>861</v>
      </c>
      <c r="D15" s="433" t="s">
        <v>862</v>
      </c>
      <c r="E15" s="434" t="s">
        <v>863</v>
      </c>
      <c r="F15" s="456" t="s">
        <v>923</v>
      </c>
      <c r="G15" s="433" t="s">
        <v>896</v>
      </c>
      <c r="H15" s="450" t="s">
        <v>467</v>
      </c>
      <c r="I15" s="436" t="s">
        <v>917</v>
      </c>
      <c r="J15" s="459" t="s">
        <v>921</v>
      </c>
      <c r="K15" s="452" t="s">
        <v>922</v>
      </c>
    </row>
    <row r="16" spans="1:11" ht="19.95" customHeight="1" x14ac:dyDescent="0.3">
      <c r="A16" s="461" t="s">
        <v>113</v>
      </c>
      <c r="B16" s="432" t="s">
        <v>865</v>
      </c>
      <c r="C16" s="433" t="s">
        <v>866</v>
      </c>
      <c r="D16" s="433" t="s">
        <v>867</v>
      </c>
      <c r="E16" s="434" t="s">
        <v>868</v>
      </c>
      <c r="F16" s="456" t="s">
        <v>924</v>
      </c>
      <c r="G16" s="433" t="s">
        <v>892</v>
      </c>
      <c r="H16" s="450" t="s">
        <v>467</v>
      </c>
      <c r="I16" s="436" t="s">
        <v>917</v>
      </c>
      <c r="J16" s="462" t="s">
        <v>925</v>
      </c>
      <c r="K16" s="452" t="s">
        <v>926</v>
      </c>
    </row>
    <row r="17" spans="1:11" ht="22.05" customHeight="1" x14ac:dyDescent="0.3">
      <c r="A17" s="440" t="s">
        <v>507</v>
      </c>
      <c r="B17" s="463" t="s">
        <v>871</v>
      </c>
      <c r="C17" s="463" t="s">
        <v>872</v>
      </c>
      <c r="D17" s="463" t="s">
        <v>873</v>
      </c>
      <c r="E17" s="463" t="s">
        <v>874</v>
      </c>
      <c r="F17" s="463" t="s">
        <v>875</v>
      </c>
      <c r="G17" s="463" t="s">
        <v>927</v>
      </c>
      <c r="H17" s="463" t="s">
        <v>928</v>
      </c>
      <c r="I17" s="463"/>
      <c r="J17" s="463"/>
      <c r="K17" s="463"/>
    </row>
    <row r="18" spans="1:11" ht="12" customHeight="1" x14ac:dyDescent="0.3"/>
    <row r="19" spans="1:11" ht="25.95" customHeight="1" thickBot="1" x14ac:dyDescent="0.35">
      <c r="A19" s="758" t="s">
        <v>929</v>
      </c>
      <c r="B19" s="708"/>
      <c r="C19" s="708"/>
      <c r="D19" s="708"/>
      <c r="E19" s="708"/>
      <c r="F19" s="708"/>
      <c r="G19" s="708"/>
      <c r="H19" s="708"/>
      <c r="I19" s="708"/>
      <c r="J19" s="708"/>
      <c r="K19" s="708"/>
    </row>
    <row r="20" spans="1:11" ht="22.05" customHeight="1" thickBot="1" x14ac:dyDescent="0.35">
      <c r="A20" s="766" t="s">
        <v>930</v>
      </c>
      <c r="B20" s="708"/>
      <c r="C20" s="708"/>
      <c r="D20" s="708"/>
      <c r="E20" s="708"/>
      <c r="F20" s="708"/>
      <c r="G20" s="708"/>
      <c r="H20" s="708"/>
      <c r="I20" s="708"/>
      <c r="J20" s="708"/>
      <c r="K20" s="708"/>
    </row>
    <row r="21" spans="1:11" ht="16.05" customHeight="1" x14ac:dyDescent="0.3">
      <c r="A21" s="464" t="s">
        <v>312</v>
      </c>
      <c r="B21" s="464" t="s">
        <v>313</v>
      </c>
      <c r="C21" s="464" t="s">
        <v>828</v>
      </c>
      <c r="D21" s="464" t="s">
        <v>829</v>
      </c>
      <c r="E21" s="464" t="s">
        <v>931</v>
      </c>
      <c r="F21" s="464" t="s">
        <v>240</v>
      </c>
      <c r="G21" s="464" t="s">
        <v>890</v>
      </c>
      <c r="H21" s="767" t="s">
        <v>908</v>
      </c>
      <c r="I21" s="768"/>
      <c r="J21" s="768"/>
      <c r="K21" s="769"/>
    </row>
    <row r="22" spans="1:11" ht="18" customHeight="1" x14ac:dyDescent="0.3">
      <c r="A22" s="465" t="s">
        <v>854</v>
      </c>
      <c r="B22" s="465" t="s">
        <v>855</v>
      </c>
      <c r="C22" s="434" t="s">
        <v>856</v>
      </c>
      <c r="D22" s="434" t="s">
        <v>857</v>
      </c>
      <c r="E22" s="466" t="s">
        <v>920</v>
      </c>
      <c r="F22" s="422" t="s">
        <v>932</v>
      </c>
      <c r="G22" s="459" t="s">
        <v>921</v>
      </c>
      <c r="H22" s="770" t="s">
        <v>922</v>
      </c>
      <c r="I22" s="708"/>
      <c r="J22" s="708"/>
      <c r="K22" s="708"/>
    </row>
    <row r="23" spans="1:11" ht="6" customHeight="1" thickBot="1" x14ac:dyDescent="0.35"/>
    <row r="24" spans="1:11" ht="22.05" customHeight="1" thickBot="1" x14ac:dyDescent="0.35">
      <c r="A24" s="771" t="s">
        <v>933</v>
      </c>
      <c r="B24" s="708"/>
      <c r="C24" s="708"/>
      <c r="D24" s="708"/>
      <c r="E24" s="708"/>
      <c r="F24" s="708"/>
      <c r="G24" s="708"/>
      <c r="H24" s="708"/>
      <c r="I24" s="708"/>
      <c r="J24" s="708"/>
      <c r="K24" s="708"/>
    </row>
    <row r="25" spans="1:11" ht="16.05" customHeight="1" x14ac:dyDescent="0.3">
      <c r="A25" s="467" t="s">
        <v>312</v>
      </c>
      <c r="B25" s="467" t="s">
        <v>313</v>
      </c>
      <c r="C25" s="467" t="s">
        <v>828</v>
      </c>
      <c r="D25" s="467" t="s">
        <v>829</v>
      </c>
      <c r="E25" s="467" t="s">
        <v>931</v>
      </c>
      <c r="F25" s="467" t="s">
        <v>240</v>
      </c>
      <c r="G25" s="467" t="s">
        <v>890</v>
      </c>
      <c r="H25" s="772" t="s">
        <v>908</v>
      </c>
      <c r="I25" s="768"/>
      <c r="J25" s="768"/>
      <c r="K25" s="769"/>
    </row>
    <row r="26" spans="1:11" ht="18" customHeight="1" x14ac:dyDescent="0.3">
      <c r="A26" s="468" t="s">
        <v>846</v>
      </c>
      <c r="B26" s="468" t="s">
        <v>847</v>
      </c>
      <c r="C26" s="434" t="s">
        <v>848</v>
      </c>
      <c r="D26" s="434" t="s">
        <v>849</v>
      </c>
      <c r="E26" s="469" t="s">
        <v>916</v>
      </c>
      <c r="F26" s="422" t="s">
        <v>932</v>
      </c>
      <c r="G26" s="457" t="s">
        <v>918</v>
      </c>
      <c r="H26" s="770" t="s">
        <v>919</v>
      </c>
      <c r="I26" s="708"/>
      <c r="J26" s="708"/>
      <c r="K26" s="708"/>
    </row>
    <row r="27" spans="1:11" ht="6" customHeight="1" thickBot="1" x14ac:dyDescent="0.35"/>
    <row r="28" spans="1:11" ht="22.05" customHeight="1" thickBot="1" x14ac:dyDescent="0.35">
      <c r="A28" s="773" t="s">
        <v>934</v>
      </c>
      <c r="B28" s="708"/>
      <c r="C28" s="708"/>
      <c r="D28" s="708"/>
      <c r="E28" s="708"/>
      <c r="F28" s="708"/>
      <c r="G28" s="708"/>
      <c r="H28" s="708"/>
      <c r="I28" s="708"/>
      <c r="J28" s="708"/>
      <c r="K28" s="708"/>
    </row>
    <row r="29" spans="1:11" ht="16.05" customHeight="1" x14ac:dyDescent="0.3">
      <c r="A29" s="470" t="s">
        <v>312</v>
      </c>
      <c r="B29" s="470" t="s">
        <v>313</v>
      </c>
      <c r="C29" s="470" t="s">
        <v>828</v>
      </c>
      <c r="D29" s="470" t="s">
        <v>829</v>
      </c>
      <c r="E29" s="470" t="s">
        <v>931</v>
      </c>
      <c r="F29" s="470" t="s">
        <v>240</v>
      </c>
      <c r="G29" s="470" t="s">
        <v>890</v>
      </c>
      <c r="H29" s="774" t="s">
        <v>908</v>
      </c>
      <c r="I29" s="768"/>
      <c r="J29" s="768"/>
      <c r="K29" s="769"/>
    </row>
    <row r="30" spans="1:11" ht="18" customHeight="1" x14ac:dyDescent="0.3">
      <c r="A30" s="471" t="s">
        <v>865</v>
      </c>
      <c r="B30" s="471" t="s">
        <v>866</v>
      </c>
      <c r="C30" s="434" t="s">
        <v>867</v>
      </c>
      <c r="D30" s="434" t="s">
        <v>868</v>
      </c>
      <c r="E30" s="472" t="s">
        <v>924</v>
      </c>
      <c r="F30" s="422" t="s">
        <v>932</v>
      </c>
      <c r="G30" s="462" t="s">
        <v>925</v>
      </c>
      <c r="H30" s="770" t="s">
        <v>926</v>
      </c>
      <c r="I30" s="708"/>
      <c r="J30" s="708"/>
      <c r="K30" s="708"/>
    </row>
    <row r="31" spans="1:11" ht="6" customHeight="1" thickBot="1" x14ac:dyDescent="0.35"/>
    <row r="32" spans="1:11" ht="22.05" customHeight="1" thickBot="1" x14ac:dyDescent="0.35">
      <c r="A32" s="765" t="s">
        <v>935</v>
      </c>
      <c r="B32" s="708"/>
      <c r="C32" s="708"/>
      <c r="D32" s="708"/>
      <c r="E32" s="708"/>
      <c r="F32" s="708"/>
      <c r="G32" s="708"/>
      <c r="H32" s="708"/>
      <c r="I32" s="708"/>
      <c r="J32" s="708"/>
      <c r="K32" s="708"/>
    </row>
    <row r="33" spans="1:11" ht="16.05" customHeight="1" x14ac:dyDescent="0.3">
      <c r="A33" s="473" t="s">
        <v>312</v>
      </c>
      <c r="B33" s="473" t="s">
        <v>313</v>
      </c>
      <c r="C33" s="473" t="s">
        <v>828</v>
      </c>
      <c r="D33" s="473" t="s">
        <v>829</v>
      </c>
      <c r="E33" s="473" t="s">
        <v>931</v>
      </c>
      <c r="F33" s="473" t="s">
        <v>240</v>
      </c>
      <c r="G33" s="473" t="s">
        <v>890</v>
      </c>
      <c r="H33" s="776" t="s">
        <v>908</v>
      </c>
      <c r="I33" s="768"/>
      <c r="J33" s="768"/>
      <c r="K33" s="769"/>
    </row>
    <row r="34" spans="1:11" ht="18" customHeight="1" x14ac:dyDescent="0.3">
      <c r="A34" s="474" t="s">
        <v>860</v>
      </c>
      <c r="B34" s="474" t="s">
        <v>861</v>
      </c>
      <c r="C34" s="434" t="s">
        <v>862</v>
      </c>
      <c r="D34" s="434" t="s">
        <v>863</v>
      </c>
      <c r="E34" s="475" t="s">
        <v>923</v>
      </c>
      <c r="F34" s="422" t="s">
        <v>932</v>
      </c>
      <c r="G34" s="459" t="s">
        <v>921</v>
      </c>
      <c r="H34" s="770" t="s">
        <v>922</v>
      </c>
      <c r="I34" s="708"/>
      <c r="J34" s="708"/>
      <c r="K34" s="708"/>
    </row>
    <row r="35" spans="1:11" ht="6" customHeight="1" thickBot="1" x14ac:dyDescent="0.35"/>
    <row r="36" spans="1:11" ht="22.05" customHeight="1" thickBot="1" x14ac:dyDescent="0.35">
      <c r="A36" s="777" t="s">
        <v>936</v>
      </c>
      <c r="B36" s="708"/>
      <c r="C36" s="708"/>
      <c r="D36" s="708"/>
      <c r="E36" s="708"/>
      <c r="F36" s="708"/>
      <c r="G36" s="708"/>
      <c r="H36" s="708"/>
      <c r="I36" s="708"/>
      <c r="J36" s="708"/>
      <c r="K36" s="708"/>
    </row>
    <row r="37" spans="1:11" ht="16.05" customHeight="1" x14ac:dyDescent="0.3">
      <c r="A37" s="476" t="s">
        <v>312</v>
      </c>
      <c r="B37" s="476" t="s">
        <v>313</v>
      </c>
      <c r="C37" s="476" t="s">
        <v>828</v>
      </c>
      <c r="D37" s="476" t="s">
        <v>829</v>
      </c>
      <c r="E37" s="476" t="s">
        <v>931</v>
      </c>
      <c r="F37" s="476" t="s">
        <v>240</v>
      </c>
      <c r="G37" s="476" t="s">
        <v>890</v>
      </c>
      <c r="H37" s="778" t="s">
        <v>908</v>
      </c>
      <c r="I37" s="768"/>
      <c r="J37" s="768"/>
      <c r="K37" s="769"/>
    </row>
    <row r="38" spans="1:11" ht="18" customHeight="1" x14ac:dyDescent="0.3">
      <c r="A38" s="477" t="s">
        <v>841</v>
      </c>
      <c r="B38" s="477" t="s">
        <v>842</v>
      </c>
      <c r="C38" s="408" t="s">
        <v>843</v>
      </c>
      <c r="D38" s="408" t="s">
        <v>844</v>
      </c>
      <c r="E38" s="478" t="s">
        <v>913</v>
      </c>
      <c r="F38" s="416" t="s">
        <v>937</v>
      </c>
      <c r="G38" s="454" t="s">
        <v>914</v>
      </c>
      <c r="H38" s="770" t="s">
        <v>915</v>
      </c>
      <c r="I38" s="708"/>
      <c r="J38" s="708"/>
      <c r="K38" s="708"/>
    </row>
    <row r="39" spans="1:11" ht="6" customHeight="1" thickBot="1" x14ac:dyDescent="0.35"/>
    <row r="40" spans="1:11" ht="22.05" customHeight="1" thickBot="1" x14ac:dyDescent="0.35">
      <c r="A40" s="779" t="s">
        <v>938</v>
      </c>
      <c r="B40" s="708"/>
      <c r="C40" s="708"/>
      <c r="D40" s="708"/>
      <c r="E40" s="708"/>
      <c r="F40" s="708"/>
      <c r="G40" s="708"/>
      <c r="H40" s="708"/>
      <c r="I40" s="708"/>
      <c r="J40" s="708"/>
      <c r="K40" s="708"/>
    </row>
    <row r="41" spans="1:11" ht="16.05" customHeight="1" x14ac:dyDescent="0.3">
      <c r="A41" s="479" t="s">
        <v>312</v>
      </c>
      <c r="B41" s="479" t="s">
        <v>313</v>
      </c>
      <c r="C41" s="479" t="s">
        <v>828</v>
      </c>
      <c r="D41" s="479" t="s">
        <v>829</v>
      </c>
      <c r="E41" s="479" t="s">
        <v>931</v>
      </c>
      <c r="F41" s="479" t="s">
        <v>240</v>
      </c>
      <c r="G41" s="479" t="s">
        <v>890</v>
      </c>
      <c r="H41" s="775" t="s">
        <v>908</v>
      </c>
      <c r="I41" s="768"/>
      <c r="J41" s="768"/>
      <c r="K41" s="769"/>
    </row>
    <row r="42" spans="1:11" ht="18" customHeight="1" x14ac:dyDescent="0.3">
      <c r="A42" s="480" t="s">
        <v>833</v>
      </c>
      <c r="B42" s="480" t="s">
        <v>834</v>
      </c>
      <c r="C42" s="408" t="s">
        <v>835</v>
      </c>
      <c r="D42" s="408" t="s">
        <v>836</v>
      </c>
      <c r="E42" s="481" t="s">
        <v>909</v>
      </c>
      <c r="F42" s="416" t="s">
        <v>937</v>
      </c>
      <c r="G42" s="451" t="s">
        <v>911</v>
      </c>
      <c r="H42" s="770" t="s">
        <v>912</v>
      </c>
      <c r="I42" s="708"/>
      <c r="J42" s="708"/>
      <c r="K42" s="708"/>
    </row>
    <row r="43" spans="1:11" ht="6" customHeight="1" x14ac:dyDescent="0.3"/>
    <row r="46" spans="1:11" x14ac:dyDescent="0.3">
      <c r="A46" t="s">
        <v>104</v>
      </c>
      <c r="B46" t="s">
        <v>312</v>
      </c>
      <c r="C46" t="s">
        <v>313</v>
      </c>
    </row>
    <row r="47" spans="1:11" x14ac:dyDescent="0.3">
      <c r="A47" t="s">
        <v>111</v>
      </c>
      <c r="B47">
        <v>59375</v>
      </c>
      <c r="C47">
        <v>40955</v>
      </c>
    </row>
    <row r="48" spans="1:11" x14ac:dyDescent="0.3">
      <c r="A48" t="s">
        <v>124</v>
      </c>
      <c r="B48">
        <v>71817</v>
      </c>
      <c r="C48">
        <v>60111</v>
      </c>
    </row>
    <row r="49" spans="1:3" x14ac:dyDescent="0.3">
      <c r="A49" t="s">
        <v>113</v>
      </c>
      <c r="B49">
        <v>61800</v>
      </c>
      <c r="C49">
        <v>27760</v>
      </c>
    </row>
    <row r="50" spans="1:3" x14ac:dyDescent="0.3">
      <c r="A50" t="s">
        <v>114</v>
      </c>
      <c r="B50">
        <v>69924</v>
      </c>
      <c r="C50">
        <v>47780</v>
      </c>
    </row>
    <row r="51" spans="1:3" x14ac:dyDescent="0.3">
      <c r="A51" t="s">
        <v>109</v>
      </c>
      <c r="B51">
        <v>63020</v>
      </c>
      <c r="C51">
        <v>70302</v>
      </c>
    </row>
    <row r="52" spans="1:3" x14ac:dyDescent="0.3">
      <c r="A52" t="s">
        <v>116</v>
      </c>
      <c r="B52">
        <v>48568</v>
      </c>
      <c r="C52">
        <v>63330</v>
      </c>
    </row>
  </sheetData>
  <mergeCells count="28">
    <mergeCell ref="H41:K41"/>
    <mergeCell ref="H42:K42"/>
    <mergeCell ref="H33:K33"/>
    <mergeCell ref="H34:K34"/>
    <mergeCell ref="A36:K36"/>
    <mergeCell ref="H37:K37"/>
    <mergeCell ref="H38:K38"/>
    <mergeCell ref="A40:K40"/>
    <mergeCell ref="A32:K32"/>
    <mergeCell ref="A9:K9"/>
    <mergeCell ref="A19:K19"/>
    <mergeCell ref="A20:K20"/>
    <mergeCell ref="H21:K21"/>
    <mergeCell ref="H22:K22"/>
    <mergeCell ref="A24:K24"/>
    <mergeCell ref="H25:K25"/>
    <mergeCell ref="H26:K26"/>
    <mergeCell ref="A28:K28"/>
    <mergeCell ref="H29:K29"/>
    <mergeCell ref="H30:K30"/>
    <mergeCell ref="A1:K1"/>
    <mergeCell ref="A2:K2"/>
    <mergeCell ref="A4:B7"/>
    <mergeCell ref="C4:D7"/>
    <mergeCell ref="E4:F7"/>
    <mergeCell ref="G4:H7"/>
    <mergeCell ref="I4:J7"/>
    <mergeCell ref="K4:K7"/>
  </mergeCell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79998168889431442"/>
  </sheetPr>
  <dimension ref="A1:D401"/>
  <sheetViews>
    <sheetView workbookViewId="0"/>
  </sheetViews>
  <sheetFormatPr defaultRowHeight="14.4" x14ac:dyDescent="0.3"/>
  <cols>
    <col min="1" max="4" width="25.109375" customWidth="1"/>
  </cols>
  <sheetData>
    <row r="1" spans="1:4" x14ac:dyDescent="0.3">
      <c r="A1" t="s">
        <v>90</v>
      </c>
      <c r="B1" t="s">
        <v>91</v>
      </c>
      <c r="C1" t="s">
        <v>92</v>
      </c>
      <c r="D1" t="s">
        <v>93</v>
      </c>
    </row>
    <row r="2" spans="1:4" x14ac:dyDescent="0.3">
      <c r="A2" s="1">
        <v>46110</v>
      </c>
      <c r="B2" t="s">
        <v>94</v>
      </c>
      <c r="C2" t="s">
        <v>95</v>
      </c>
      <c r="D2">
        <v>51636</v>
      </c>
    </row>
    <row r="3" spans="1:4" x14ac:dyDescent="0.3">
      <c r="A3" s="1">
        <v>46073</v>
      </c>
      <c r="B3" t="s">
        <v>96</v>
      </c>
      <c r="C3" t="s">
        <v>97</v>
      </c>
      <c r="D3">
        <v>53095</v>
      </c>
    </row>
    <row r="4" spans="1:4" x14ac:dyDescent="0.3">
      <c r="A4" s="1">
        <v>46134</v>
      </c>
      <c r="B4" t="s">
        <v>96</v>
      </c>
      <c r="C4" t="s">
        <v>98</v>
      </c>
      <c r="D4">
        <v>56972</v>
      </c>
    </row>
    <row r="5" spans="1:4" x14ac:dyDescent="0.3">
      <c r="A5" s="1">
        <v>46114</v>
      </c>
      <c r="B5" t="s">
        <v>94</v>
      </c>
      <c r="C5" t="s">
        <v>98</v>
      </c>
      <c r="D5">
        <v>16696</v>
      </c>
    </row>
    <row r="6" spans="1:4" x14ac:dyDescent="0.3">
      <c r="A6" s="1">
        <v>46058</v>
      </c>
      <c r="B6" t="s">
        <v>94</v>
      </c>
      <c r="C6" t="s">
        <v>98</v>
      </c>
      <c r="D6">
        <v>9196</v>
      </c>
    </row>
    <row r="7" spans="1:4" x14ac:dyDescent="0.3">
      <c r="A7" s="1">
        <v>46105</v>
      </c>
      <c r="B7" t="s">
        <v>96</v>
      </c>
      <c r="C7" t="s">
        <v>95</v>
      </c>
      <c r="D7">
        <v>39625</v>
      </c>
    </row>
    <row r="8" spans="1:4" x14ac:dyDescent="0.3">
      <c r="A8" s="1">
        <v>46135</v>
      </c>
      <c r="B8" t="s">
        <v>99</v>
      </c>
      <c r="C8" t="s">
        <v>95</v>
      </c>
      <c r="D8">
        <v>6702</v>
      </c>
    </row>
    <row r="9" spans="1:4" x14ac:dyDescent="0.3">
      <c r="A9" s="1">
        <v>46034</v>
      </c>
      <c r="B9" t="s">
        <v>99</v>
      </c>
      <c r="C9" t="s">
        <v>95</v>
      </c>
      <c r="D9">
        <v>48570</v>
      </c>
    </row>
    <row r="10" spans="1:4" x14ac:dyDescent="0.3">
      <c r="A10" s="1">
        <v>46113</v>
      </c>
      <c r="B10" t="s">
        <v>100</v>
      </c>
      <c r="C10" t="s">
        <v>95</v>
      </c>
      <c r="D10">
        <v>24902</v>
      </c>
    </row>
    <row r="11" spans="1:4" x14ac:dyDescent="0.3">
      <c r="A11" s="1">
        <v>46134</v>
      </c>
      <c r="B11" t="s">
        <v>99</v>
      </c>
      <c r="C11" t="s">
        <v>101</v>
      </c>
      <c r="D11">
        <v>11401</v>
      </c>
    </row>
    <row r="12" spans="1:4" x14ac:dyDescent="0.3">
      <c r="A12" s="1">
        <v>46093</v>
      </c>
      <c r="B12" t="s">
        <v>96</v>
      </c>
      <c r="C12" t="s">
        <v>97</v>
      </c>
      <c r="D12">
        <v>44018</v>
      </c>
    </row>
    <row r="13" spans="1:4" x14ac:dyDescent="0.3">
      <c r="A13" s="1">
        <v>46081</v>
      </c>
      <c r="B13" t="s">
        <v>96</v>
      </c>
      <c r="C13" t="s">
        <v>97</v>
      </c>
      <c r="D13">
        <v>31000</v>
      </c>
    </row>
    <row r="14" spans="1:4" x14ac:dyDescent="0.3">
      <c r="A14" s="1">
        <v>46061</v>
      </c>
      <c r="B14" t="s">
        <v>96</v>
      </c>
      <c r="C14" t="s">
        <v>95</v>
      </c>
      <c r="D14">
        <v>3116</v>
      </c>
    </row>
    <row r="15" spans="1:4" x14ac:dyDescent="0.3">
      <c r="A15" s="1">
        <v>46094</v>
      </c>
      <c r="B15" t="s">
        <v>99</v>
      </c>
      <c r="C15" t="s">
        <v>97</v>
      </c>
      <c r="D15">
        <v>52522</v>
      </c>
    </row>
    <row r="16" spans="1:4" x14ac:dyDescent="0.3">
      <c r="A16" s="1">
        <v>46122</v>
      </c>
      <c r="B16" t="s">
        <v>100</v>
      </c>
      <c r="C16" t="s">
        <v>98</v>
      </c>
      <c r="D16">
        <v>43036</v>
      </c>
    </row>
    <row r="17" spans="1:4" x14ac:dyDescent="0.3">
      <c r="A17" s="1">
        <v>46032</v>
      </c>
      <c r="B17" t="s">
        <v>96</v>
      </c>
      <c r="C17" t="s">
        <v>98</v>
      </c>
      <c r="D17">
        <v>36246</v>
      </c>
    </row>
    <row r="18" spans="1:4" x14ac:dyDescent="0.3">
      <c r="A18" s="1">
        <v>46115</v>
      </c>
      <c r="B18" t="s">
        <v>100</v>
      </c>
      <c r="C18" t="s">
        <v>101</v>
      </c>
      <c r="D18">
        <v>44436</v>
      </c>
    </row>
    <row r="19" spans="1:4" x14ac:dyDescent="0.3">
      <c r="A19" s="1">
        <v>46104</v>
      </c>
      <c r="B19" t="s">
        <v>94</v>
      </c>
      <c r="C19" t="s">
        <v>98</v>
      </c>
      <c r="D19">
        <v>12229</v>
      </c>
    </row>
    <row r="20" spans="1:4" x14ac:dyDescent="0.3">
      <c r="A20" s="1">
        <v>46138</v>
      </c>
      <c r="B20" t="s">
        <v>96</v>
      </c>
      <c r="C20" t="s">
        <v>97</v>
      </c>
      <c r="D20">
        <v>23294</v>
      </c>
    </row>
    <row r="21" spans="1:4" x14ac:dyDescent="0.3">
      <c r="A21" s="1">
        <v>46030</v>
      </c>
      <c r="B21" t="s">
        <v>94</v>
      </c>
      <c r="C21" t="s">
        <v>97</v>
      </c>
      <c r="D21">
        <v>40592</v>
      </c>
    </row>
    <row r="22" spans="1:4" x14ac:dyDescent="0.3">
      <c r="A22" s="1">
        <v>46085</v>
      </c>
      <c r="B22" t="s">
        <v>99</v>
      </c>
      <c r="C22" t="s">
        <v>101</v>
      </c>
      <c r="D22">
        <v>57592</v>
      </c>
    </row>
    <row r="23" spans="1:4" x14ac:dyDescent="0.3">
      <c r="A23" s="1">
        <v>46085</v>
      </c>
      <c r="B23" t="s">
        <v>100</v>
      </c>
      <c r="C23" t="s">
        <v>95</v>
      </c>
      <c r="D23">
        <v>47262</v>
      </c>
    </row>
    <row r="24" spans="1:4" x14ac:dyDescent="0.3">
      <c r="A24" s="1">
        <v>46122</v>
      </c>
      <c r="B24" t="s">
        <v>96</v>
      </c>
      <c r="C24" t="s">
        <v>98</v>
      </c>
      <c r="D24">
        <v>20802</v>
      </c>
    </row>
    <row r="25" spans="1:4" x14ac:dyDescent="0.3">
      <c r="A25" s="1">
        <v>46105</v>
      </c>
      <c r="B25" t="s">
        <v>99</v>
      </c>
      <c r="C25" t="s">
        <v>97</v>
      </c>
      <c r="D25">
        <v>43678</v>
      </c>
    </row>
    <row r="26" spans="1:4" x14ac:dyDescent="0.3">
      <c r="A26" s="1">
        <v>46062</v>
      </c>
      <c r="B26" t="s">
        <v>100</v>
      </c>
      <c r="C26" t="s">
        <v>101</v>
      </c>
      <c r="D26">
        <v>43967</v>
      </c>
    </row>
    <row r="27" spans="1:4" x14ac:dyDescent="0.3">
      <c r="A27" s="1">
        <v>46113</v>
      </c>
      <c r="B27" t="s">
        <v>99</v>
      </c>
      <c r="C27" t="s">
        <v>95</v>
      </c>
      <c r="D27">
        <v>53428</v>
      </c>
    </row>
    <row r="28" spans="1:4" x14ac:dyDescent="0.3">
      <c r="A28" s="1">
        <v>46142</v>
      </c>
      <c r="B28" t="s">
        <v>94</v>
      </c>
      <c r="C28" t="s">
        <v>95</v>
      </c>
      <c r="D28">
        <v>34534</v>
      </c>
    </row>
    <row r="29" spans="1:4" x14ac:dyDescent="0.3">
      <c r="A29" s="1">
        <v>46056</v>
      </c>
      <c r="B29" t="s">
        <v>94</v>
      </c>
      <c r="C29" t="s">
        <v>98</v>
      </c>
      <c r="D29">
        <v>31049</v>
      </c>
    </row>
    <row r="30" spans="1:4" x14ac:dyDescent="0.3">
      <c r="A30" s="1">
        <v>46134</v>
      </c>
      <c r="B30" t="s">
        <v>96</v>
      </c>
      <c r="C30" t="s">
        <v>101</v>
      </c>
      <c r="D30">
        <v>39943</v>
      </c>
    </row>
    <row r="31" spans="1:4" x14ac:dyDescent="0.3">
      <c r="A31" s="1">
        <v>46085</v>
      </c>
      <c r="B31" t="s">
        <v>100</v>
      </c>
      <c r="C31" t="s">
        <v>97</v>
      </c>
      <c r="D31">
        <v>14538</v>
      </c>
    </row>
    <row r="32" spans="1:4" x14ac:dyDescent="0.3">
      <c r="A32" s="1">
        <v>46056</v>
      </c>
      <c r="B32" t="s">
        <v>96</v>
      </c>
      <c r="C32" t="s">
        <v>98</v>
      </c>
      <c r="D32">
        <v>32841</v>
      </c>
    </row>
    <row r="33" spans="1:4" x14ac:dyDescent="0.3">
      <c r="A33" s="1">
        <v>46032</v>
      </c>
      <c r="B33" t="s">
        <v>94</v>
      </c>
      <c r="C33" t="s">
        <v>101</v>
      </c>
      <c r="D33">
        <v>29274</v>
      </c>
    </row>
    <row r="34" spans="1:4" x14ac:dyDescent="0.3">
      <c r="A34" s="1">
        <v>46123</v>
      </c>
      <c r="B34" t="s">
        <v>94</v>
      </c>
      <c r="C34" t="s">
        <v>101</v>
      </c>
      <c r="D34">
        <v>24495</v>
      </c>
    </row>
    <row r="35" spans="1:4" x14ac:dyDescent="0.3">
      <c r="A35" s="1">
        <v>46040</v>
      </c>
      <c r="B35" t="s">
        <v>100</v>
      </c>
      <c r="C35" t="s">
        <v>98</v>
      </c>
      <c r="D35">
        <v>59065</v>
      </c>
    </row>
    <row r="36" spans="1:4" x14ac:dyDescent="0.3">
      <c r="A36" s="1">
        <v>46036</v>
      </c>
      <c r="B36" t="s">
        <v>94</v>
      </c>
      <c r="C36" t="s">
        <v>95</v>
      </c>
      <c r="D36">
        <v>27727</v>
      </c>
    </row>
    <row r="37" spans="1:4" x14ac:dyDescent="0.3">
      <c r="A37" s="1">
        <v>46079</v>
      </c>
      <c r="B37" t="s">
        <v>100</v>
      </c>
      <c r="C37" t="s">
        <v>97</v>
      </c>
      <c r="D37">
        <v>19860</v>
      </c>
    </row>
    <row r="38" spans="1:4" x14ac:dyDescent="0.3">
      <c r="A38" s="1">
        <v>46079</v>
      </c>
      <c r="B38" t="s">
        <v>99</v>
      </c>
      <c r="C38" t="s">
        <v>95</v>
      </c>
      <c r="D38">
        <v>18543</v>
      </c>
    </row>
    <row r="39" spans="1:4" x14ac:dyDescent="0.3">
      <c r="A39" s="1">
        <v>46076</v>
      </c>
      <c r="B39" t="s">
        <v>94</v>
      </c>
      <c r="C39" t="s">
        <v>95</v>
      </c>
      <c r="D39">
        <v>19371</v>
      </c>
    </row>
    <row r="40" spans="1:4" x14ac:dyDescent="0.3">
      <c r="A40" s="1">
        <v>46078</v>
      </c>
      <c r="B40" t="s">
        <v>100</v>
      </c>
      <c r="C40" t="s">
        <v>98</v>
      </c>
      <c r="D40">
        <v>16170</v>
      </c>
    </row>
    <row r="41" spans="1:4" x14ac:dyDescent="0.3">
      <c r="A41" s="1">
        <v>46090</v>
      </c>
      <c r="B41" t="s">
        <v>94</v>
      </c>
      <c r="C41" t="s">
        <v>95</v>
      </c>
      <c r="D41">
        <v>13862</v>
      </c>
    </row>
    <row r="42" spans="1:4" x14ac:dyDescent="0.3">
      <c r="A42" s="1">
        <v>46087</v>
      </c>
      <c r="B42" t="s">
        <v>96</v>
      </c>
      <c r="C42" t="s">
        <v>101</v>
      </c>
      <c r="D42">
        <v>8644</v>
      </c>
    </row>
    <row r="43" spans="1:4" x14ac:dyDescent="0.3">
      <c r="A43" s="1">
        <v>46088</v>
      </c>
      <c r="B43" t="s">
        <v>96</v>
      </c>
      <c r="C43" t="s">
        <v>95</v>
      </c>
      <c r="D43">
        <v>14470</v>
      </c>
    </row>
    <row r="44" spans="1:4" x14ac:dyDescent="0.3">
      <c r="A44" s="1">
        <v>46105</v>
      </c>
      <c r="B44" t="s">
        <v>99</v>
      </c>
      <c r="C44" t="s">
        <v>97</v>
      </c>
      <c r="D44">
        <v>18759</v>
      </c>
    </row>
    <row r="45" spans="1:4" x14ac:dyDescent="0.3">
      <c r="A45" s="1">
        <v>46092</v>
      </c>
      <c r="B45" t="s">
        <v>96</v>
      </c>
      <c r="C45" t="s">
        <v>95</v>
      </c>
      <c r="D45">
        <v>51524</v>
      </c>
    </row>
    <row r="46" spans="1:4" x14ac:dyDescent="0.3">
      <c r="A46" s="1">
        <v>46128</v>
      </c>
      <c r="B46" t="s">
        <v>96</v>
      </c>
      <c r="C46" t="s">
        <v>101</v>
      </c>
      <c r="D46">
        <v>26174</v>
      </c>
    </row>
    <row r="47" spans="1:4" x14ac:dyDescent="0.3">
      <c r="A47" s="1">
        <v>46107</v>
      </c>
      <c r="B47" t="s">
        <v>96</v>
      </c>
      <c r="C47" t="s">
        <v>98</v>
      </c>
      <c r="D47">
        <v>19202</v>
      </c>
    </row>
    <row r="48" spans="1:4" x14ac:dyDescent="0.3">
      <c r="A48" s="1">
        <v>46024</v>
      </c>
      <c r="B48" t="s">
        <v>100</v>
      </c>
      <c r="C48" t="s">
        <v>97</v>
      </c>
      <c r="D48">
        <v>10884</v>
      </c>
    </row>
    <row r="49" spans="1:4" x14ac:dyDescent="0.3">
      <c r="A49" s="1">
        <v>46074</v>
      </c>
      <c r="B49" t="s">
        <v>96</v>
      </c>
      <c r="C49" t="s">
        <v>97</v>
      </c>
      <c r="D49">
        <v>45503</v>
      </c>
    </row>
    <row r="50" spans="1:4" x14ac:dyDescent="0.3">
      <c r="A50" s="1">
        <v>46032</v>
      </c>
      <c r="B50" t="s">
        <v>96</v>
      </c>
      <c r="C50" t="s">
        <v>101</v>
      </c>
      <c r="D50">
        <v>2289</v>
      </c>
    </row>
    <row r="51" spans="1:4" x14ac:dyDescent="0.3">
      <c r="A51" s="1">
        <v>46087</v>
      </c>
      <c r="B51" t="s">
        <v>99</v>
      </c>
      <c r="C51" t="s">
        <v>98</v>
      </c>
      <c r="D51">
        <v>27956</v>
      </c>
    </row>
    <row r="52" spans="1:4" x14ac:dyDescent="0.3">
      <c r="A52" s="1">
        <v>46116</v>
      </c>
      <c r="B52" t="s">
        <v>96</v>
      </c>
      <c r="C52" t="s">
        <v>98</v>
      </c>
      <c r="D52">
        <v>13602</v>
      </c>
    </row>
    <row r="53" spans="1:4" x14ac:dyDescent="0.3">
      <c r="A53" s="1">
        <v>46071</v>
      </c>
      <c r="B53" t="s">
        <v>96</v>
      </c>
      <c r="C53" t="s">
        <v>97</v>
      </c>
      <c r="D53">
        <v>55266</v>
      </c>
    </row>
    <row r="54" spans="1:4" x14ac:dyDescent="0.3">
      <c r="A54" s="1">
        <v>46122</v>
      </c>
      <c r="B54" t="s">
        <v>100</v>
      </c>
      <c r="C54" t="s">
        <v>101</v>
      </c>
      <c r="D54">
        <v>37527</v>
      </c>
    </row>
    <row r="55" spans="1:4" x14ac:dyDescent="0.3">
      <c r="A55" s="1">
        <v>46033</v>
      </c>
      <c r="B55" t="s">
        <v>96</v>
      </c>
      <c r="C55" t="s">
        <v>95</v>
      </c>
      <c r="D55">
        <v>49344</v>
      </c>
    </row>
    <row r="56" spans="1:4" x14ac:dyDescent="0.3">
      <c r="A56" s="1">
        <v>46096</v>
      </c>
      <c r="B56" t="s">
        <v>94</v>
      </c>
      <c r="C56" t="s">
        <v>95</v>
      </c>
      <c r="D56">
        <v>12028</v>
      </c>
    </row>
    <row r="57" spans="1:4" x14ac:dyDescent="0.3">
      <c r="A57" s="1">
        <v>46112</v>
      </c>
      <c r="B57" t="s">
        <v>99</v>
      </c>
      <c r="C57" t="s">
        <v>97</v>
      </c>
      <c r="D57">
        <v>46865</v>
      </c>
    </row>
    <row r="58" spans="1:4" x14ac:dyDescent="0.3">
      <c r="A58" s="1">
        <v>46030</v>
      </c>
      <c r="B58" t="s">
        <v>94</v>
      </c>
      <c r="C58" t="s">
        <v>98</v>
      </c>
      <c r="D58">
        <v>20701</v>
      </c>
    </row>
    <row r="59" spans="1:4" x14ac:dyDescent="0.3">
      <c r="A59" s="1">
        <v>46096</v>
      </c>
      <c r="B59" t="s">
        <v>94</v>
      </c>
      <c r="C59" t="s">
        <v>97</v>
      </c>
      <c r="D59">
        <v>42021</v>
      </c>
    </row>
    <row r="60" spans="1:4" x14ac:dyDescent="0.3">
      <c r="A60" s="1">
        <v>46106</v>
      </c>
      <c r="B60" t="s">
        <v>100</v>
      </c>
      <c r="C60" t="s">
        <v>101</v>
      </c>
      <c r="D60">
        <v>41699</v>
      </c>
    </row>
    <row r="61" spans="1:4" x14ac:dyDescent="0.3">
      <c r="A61" s="1">
        <v>46026</v>
      </c>
      <c r="B61" t="s">
        <v>100</v>
      </c>
      <c r="C61" t="s">
        <v>95</v>
      </c>
      <c r="D61">
        <v>19027</v>
      </c>
    </row>
    <row r="62" spans="1:4" x14ac:dyDescent="0.3">
      <c r="A62" s="1">
        <v>46066</v>
      </c>
      <c r="B62" t="s">
        <v>94</v>
      </c>
      <c r="C62" t="s">
        <v>101</v>
      </c>
      <c r="D62">
        <v>2007</v>
      </c>
    </row>
    <row r="63" spans="1:4" x14ac:dyDescent="0.3">
      <c r="A63" s="1">
        <v>46089</v>
      </c>
      <c r="B63" t="s">
        <v>99</v>
      </c>
      <c r="C63" t="s">
        <v>101</v>
      </c>
      <c r="D63">
        <v>50404</v>
      </c>
    </row>
    <row r="64" spans="1:4" x14ac:dyDescent="0.3">
      <c r="A64" s="1">
        <v>46029</v>
      </c>
      <c r="B64" t="s">
        <v>100</v>
      </c>
      <c r="C64" t="s">
        <v>101</v>
      </c>
      <c r="D64">
        <v>10820</v>
      </c>
    </row>
    <row r="65" spans="1:4" x14ac:dyDescent="0.3">
      <c r="A65" s="1">
        <v>46103</v>
      </c>
      <c r="B65" t="s">
        <v>96</v>
      </c>
      <c r="C65" t="s">
        <v>98</v>
      </c>
      <c r="D65">
        <v>23145</v>
      </c>
    </row>
    <row r="66" spans="1:4" x14ac:dyDescent="0.3">
      <c r="A66" s="1">
        <v>46099</v>
      </c>
      <c r="B66" t="s">
        <v>96</v>
      </c>
      <c r="C66" t="s">
        <v>98</v>
      </c>
      <c r="D66">
        <v>45900</v>
      </c>
    </row>
    <row r="67" spans="1:4" x14ac:dyDescent="0.3">
      <c r="A67" s="1">
        <v>46066</v>
      </c>
      <c r="B67" t="s">
        <v>99</v>
      </c>
      <c r="C67" t="s">
        <v>97</v>
      </c>
      <c r="D67">
        <v>2010</v>
      </c>
    </row>
    <row r="68" spans="1:4" x14ac:dyDescent="0.3">
      <c r="A68" s="1">
        <v>46045</v>
      </c>
      <c r="B68" t="s">
        <v>99</v>
      </c>
      <c r="C68" t="s">
        <v>95</v>
      </c>
      <c r="D68">
        <v>13920</v>
      </c>
    </row>
    <row r="69" spans="1:4" x14ac:dyDescent="0.3">
      <c r="A69" s="1">
        <v>46104</v>
      </c>
      <c r="B69" t="s">
        <v>94</v>
      </c>
      <c r="C69" t="s">
        <v>95</v>
      </c>
      <c r="D69">
        <v>21293</v>
      </c>
    </row>
    <row r="70" spans="1:4" x14ac:dyDescent="0.3">
      <c r="A70" s="1">
        <v>46126</v>
      </c>
      <c r="B70" t="s">
        <v>100</v>
      </c>
      <c r="C70" t="s">
        <v>101</v>
      </c>
      <c r="D70">
        <v>47939</v>
      </c>
    </row>
    <row r="71" spans="1:4" x14ac:dyDescent="0.3">
      <c r="A71" s="1">
        <v>46141</v>
      </c>
      <c r="B71" t="s">
        <v>100</v>
      </c>
      <c r="C71" t="s">
        <v>97</v>
      </c>
      <c r="D71">
        <v>38673</v>
      </c>
    </row>
    <row r="72" spans="1:4" x14ac:dyDescent="0.3">
      <c r="A72" s="1">
        <v>46117</v>
      </c>
      <c r="B72" t="s">
        <v>94</v>
      </c>
      <c r="C72" t="s">
        <v>95</v>
      </c>
      <c r="D72">
        <v>29358</v>
      </c>
    </row>
    <row r="73" spans="1:4" x14ac:dyDescent="0.3">
      <c r="A73" s="1">
        <v>46134</v>
      </c>
      <c r="B73" t="s">
        <v>96</v>
      </c>
      <c r="C73" t="s">
        <v>101</v>
      </c>
      <c r="D73">
        <v>47929</v>
      </c>
    </row>
    <row r="74" spans="1:4" x14ac:dyDescent="0.3">
      <c r="A74" s="1">
        <v>46135</v>
      </c>
      <c r="B74" t="s">
        <v>99</v>
      </c>
      <c r="C74" t="s">
        <v>98</v>
      </c>
      <c r="D74">
        <v>57689</v>
      </c>
    </row>
    <row r="75" spans="1:4" x14ac:dyDescent="0.3">
      <c r="A75" s="1">
        <v>46073</v>
      </c>
      <c r="B75" t="s">
        <v>96</v>
      </c>
      <c r="C75" t="s">
        <v>97</v>
      </c>
      <c r="D75">
        <v>53887</v>
      </c>
    </row>
    <row r="76" spans="1:4" x14ac:dyDescent="0.3">
      <c r="A76" s="1">
        <v>46088</v>
      </c>
      <c r="B76" t="s">
        <v>100</v>
      </c>
      <c r="C76" t="s">
        <v>101</v>
      </c>
      <c r="D76">
        <v>8635</v>
      </c>
    </row>
    <row r="77" spans="1:4" x14ac:dyDescent="0.3">
      <c r="A77" s="1">
        <v>46070</v>
      </c>
      <c r="B77" t="s">
        <v>96</v>
      </c>
      <c r="C77" t="s">
        <v>98</v>
      </c>
      <c r="D77">
        <v>6778</v>
      </c>
    </row>
    <row r="78" spans="1:4" x14ac:dyDescent="0.3">
      <c r="A78" s="1">
        <v>46074</v>
      </c>
      <c r="B78" t="s">
        <v>96</v>
      </c>
      <c r="C78" t="s">
        <v>97</v>
      </c>
      <c r="D78">
        <v>49697</v>
      </c>
    </row>
    <row r="79" spans="1:4" x14ac:dyDescent="0.3">
      <c r="A79" s="1">
        <v>46143</v>
      </c>
      <c r="B79" t="s">
        <v>99</v>
      </c>
      <c r="C79" t="s">
        <v>97</v>
      </c>
      <c r="D79">
        <v>18357</v>
      </c>
    </row>
    <row r="80" spans="1:4" x14ac:dyDescent="0.3">
      <c r="A80" s="1">
        <v>46037</v>
      </c>
      <c r="B80" t="s">
        <v>96</v>
      </c>
      <c r="C80" t="s">
        <v>98</v>
      </c>
      <c r="D80">
        <v>15843</v>
      </c>
    </row>
    <row r="81" spans="1:4" x14ac:dyDescent="0.3">
      <c r="A81" s="1">
        <v>46030</v>
      </c>
      <c r="B81" t="s">
        <v>96</v>
      </c>
      <c r="C81" t="s">
        <v>97</v>
      </c>
      <c r="D81">
        <v>58101</v>
      </c>
    </row>
    <row r="82" spans="1:4" x14ac:dyDescent="0.3">
      <c r="A82" s="1">
        <v>46120</v>
      </c>
      <c r="B82" t="s">
        <v>99</v>
      </c>
      <c r="C82" t="s">
        <v>97</v>
      </c>
      <c r="D82">
        <v>17804</v>
      </c>
    </row>
    <row r="83" spans="1:4" x14ac:dyDescent="0.3">
      <c r="A83" s="1">
        <v>46106</v>
      </c>
      <c r="B83" t="s">
        <v>99</v>
      </c>
      <c r="C83" t="s">
        <v>98</v>
      </c>
      <c r="D83">
        <v>16687</v>
      </c>
    </row>
    <row r="84" spans="1:4" x14ac:dyDescent="0.3">
      <c r="A84" s="1">
        <v>46025</v>
      </c>
      <c r="B84" t="s">
        <v>96</v>
      </c>
      <c r="C84" t="s">
        <v>101</v>
      </c>
      <c r="D84">
        <v>57720</v>
      </c>
    </row>
    <row r="85" spans="1:4" x14ac:dyDescent="0.3">
      <c r="A85" s="1">
        <v>46114</v>
      </c>
      <c r="B85" t="s">
        <v>94</v>
      </c>
      <c r="C85" t="s">
        <v>97</v>
      </c>
      <c r="D85">
        <v>59158</v>
      </c>
    </row>
    <row r="86" spans="1:4" x14ac:dyDescent="0.3">
      <c r="A86" s="1">
        <v>46079</v>
      </c>
      <c r="B86" t="s">
        <v>99</v>
      </c>
      <c r="C86" t="s">
        <v>97</v>
      </c>
      <c r="D86">
        <v>6325</v>
      </c>
    </row>
    <row r="87" spans="1:4" x14ac:dyDescent="0.3">
      <c r="A87" s="1">
        <v>46074</v>
      </c>
      <c r="B87" t="s">
        <v>99</v>
      </c>
      <c r="C87" t="s">
        <v>95</v>
      </c>
      <c r="D87">
        <v>23730</v>
      </c>
    </row>
    <row r="88" spans="1:4" x14ac:dyDescent="0.3">
      <c r="A88" s="1">
        <v>46104</v>
      </c>
      <c r="B88" t="s">
        <v>94</v>
      </c>
      <c r="C88" t="s">
        <v>95</v>
      </c>
      <c r="D88">
        <v>5714</v>
      </c>
    </row>
    <row r="89" spans="1:4" x14ac:dyDescent="0.3">
      <c r="A89" s="1">
        <v>46089</v>
      </c>
      <c r="B89" t="s">
        <v>100</v>
      </c>
      <c r="C89" t="s">
        <v>101</v>
      </c>
      <c r="D89">
        <v>31532</v>
      </c>
    </row>
    <row r="90" spans="1:4" x14ac:dyDescent="0.3">
      <c r="A90" s="1">
        <v>46105</v>
      </c>
      <c r="B90" t="s">
        <v>94</v>
      </c>
      <c r="C90" t="s">
        <v>95</v>
      </c>
      <c r="D90">
        <v>24851</v>
      </c>
    </row>
    <row r="91" spans="1:4" x14ac:dyDescent="0.3">
      <c r="A91" s="1">
        <v>46069</v>
      </c>
      <c r="B91" t="s">
        <v>99</v>
      </c>
      <c r="C91" t="s">
        <v>101</v>
      </c>
      <c r="D91">
        <v>38962</v>
      </c>
    </row>
    <row r="92" spans="1:4" x14ac:dyDescent="0.3">
      <c r="A92" s="1">
        <v>46100</v>
      </c>
      <c r="B92" t="s">
        <v>99</v>
      </c>
      <c r="C92" t="s">
        <v>101</v>
      </c>
      <c r="D92">
        <v>20487</v>
      </c>
    </row>
    <row r="93" spans="1:4" x14ac:dyDescent="0.3">
      <c r="A93" s="1">
        <v>46130</v>
      </c>
      <c r="B93" t="s">
        <v>94</v>
      </c>
      <c r="C93" t="s">
        <v>101</v>
      </c>
      <c r="D93">
        <v>16758</v>
      </c>
    </row>
    <row r="94" spans="1:4" x14ac:dyDescent="0.3">
      <c r="A94" s="1">
        <v>46060</v>
      </c>
      <c r="B94" t="s">
        <v>94</v>
      </c>
      <c r="C94" t="s">
        <v>101</v>
      </c>
      <c r="D94">
        <v>20441</v>
      </c>
    </row>
    <row r="95" spans="1:4" x14ac:dyDescent="0.3">
      <c r="A95" s="1">
        <v>46139</v>
      </c>
      <c r="B95" t="s">
        <v>94</v>
      </c>
      <c r="C95" t="s">
        <v>97</v>
      </c>
      <c r="D95">
        <v>45720</v>
      </c>
    </row>
    <row r="96" spans="1:4" x14ac:dyDescent="0.3">
      <c r="A96" s="1">
        <v>46085</v>
      </c>
      <c r="B96" t="s">
        <v>96</v>
      </c>
      <c r="C96" t="s">
        <v>95</v>
      </c>
      <c r="D96">
        <v>47084</v>
      </c>
    </row>
    <row r="97" spans="1:4" x14ac:dyDescent="0.3">
      <c r="A97" s="1">
        <v>46125</v>
      </c>
      <c r="B97" t="s">
        <v>94</v>
      </c>
      <c r="C97" t="s">
        <v>101</v>
      </c>
      <c r="D97">
        <v>6540</v>
      </c>
    </row>
    <row r="98" spans="1:4" x14ac:dyDescent="0.3">
      <c r="A98" s="1">
        <v>46036</v>
      </c>
      <c r="B98" t="s">
        <v>99</v>
      </c>
      <c r="C98" t="s">
        <v>97</v>
      </c>
      <c r="D98">
        <v>18883</v>
      </c>
    </row>
    <row r="99" spans="1:4" x14ac:dyDescent="0.3">
      <c r="A99" s="1">
        <v>46074</v>
      </c>
      <c r="B99" t="s">
        <v>99</v>
      </c>
      <c r="C99" t="s">
        <v>97</v>
      </c>
      <c r="D99">
        <v>7235</v>
      </c>
    </row>
    <row r="100" spans="1:4" x14ac:dyDescent="0.3">
      <c r="A100" s="1">
        <v>46033</v>
      </c>
      <c r="B100" t="s">
        <v>96</v>
      </c>
      <c r="C100" t="s">
        <v>98</v>
      </c>
      <c r="D100">
        <v>31524</v>
      </c>
    </row>
    <row r="101" spans="1:4" x14ac:dyDescent="0.3">
      <c r="A101" s="1">
        <v>46031</v>
      </c>
      <c r="B101" t="s">
        <v>96</v>
      </c>
      <c r="C101" t="s">
        <v>97</v>
      </c>
      <c r="D101">
        <v>4774</v>
      </c>
    </row>
    <row r="102" spans="1:4" x14ac:dyDescent="0.3">
      <c r="A102" s="1">
        <v>46071</v>
      </c>
      <c r="B102" t="s">
        <v>99</v>
      </c>
      <c r="C102" t="s">
        <v>97</v>
      </c>
      <c r="D102">
        <v>4828</v>
      </c>
    </row>
    <row r="103" spans="1:4" x14ac:dyDescent="0.3">
      <c r="A103" s="1">
        <v>46067</v>
      </c>
      <c r="B103" t="s">
        <v>96</v>
      </c>
      <c r="C103" t="s">
        <v>98</v>
      </c>
      <c r="D103">
        <v>39905</v>
      </c>
    </row>
    <row r="104" spans="1:4" x14ac:dyDescent="0.3">
      <c r="A104" s="1">
        <v>46052</v>
      </c>
      <c r="B104" t="s">
        <v>94</v>
      </c>
      <c r="C104" t="s">
        <v>98</v>
      </c>
      <c r="D104">
        <v>37983</v>
      </c>
    </row>
    <row r="105" spans="1:4" x14ac:dyDescent="0.3">
      <c r="A105" s="1">
        <v>46087</v>
      </c>
      <c r="B105" t="s">
        <v>94</v>
      </c>
      <c r="C105" t="s">
        <v>97</v>
      </c>
      <c r="D105">
        <v>7034</v>
      </c>
    </row>
    <row r="106" spans="1:4" x14ac:dyDescent="0.3">
      <c r="A106" s="1">
        <v>46143</v>
      </c>
      <c r="B106" t="s">
        <v>94</v>
      </c>
      <c r="C106" t="s">
        <v>97</v>
      </c>
      <c r="D106">
        <v>40711</v>
      </c>
    </row>
    <row r="107" spans="1:4" x14ac:dyDescent="0.3">
      <c r="A107" s="1">
        <v>46092</v>
      </c>
      <c r="B107" t="s">
        <v>99</v>
      </c>
      <c r="C107" t="s">
        <v>98</v>
      </c>
      <c r="D107">
        <v>25484</v>
      </c>
    </row>
    <row r="108" spans="1:4" x14ac:dyDescent="0.3">
      <c r="A108" s="1">
        <v>46123</v>
      </c>
      <c r="B108" t="s">
        <v>100</v>
      </c>
      <c r="C108" t="s">
        <v>98</v>
      </c>
      <c r="D108">
        <v>6218</v>
      </c>
    </row>
    <row r="109" spans="1:4" x14ac:dyDescent="0.3">
      <c r="A109" s="1">
        <v>46068</v>
      </c>
      <c r="B109" t="s">
        <v>94</v>
      </c>
      <c r="C109" t="s">
        <v>97</v>
      </c>
      <c r="D109">
        <v>33860</v>
      </c>
    </row>
    <row r="110" spans="1:4" x14ac:dyDescent="0.3">
      <c r="A110" s="1">
        <v>46076</v>
      </c>
      <c r="B110" t="s">
        <v>100</v>
      </c>
      <c r="C110" t="s">
        <v>101</v>
      </c>
      <c r="D110">
        <v>57765</v>
      </c>
    </row>
    <row r="111" spans="1:4" x14ac:dyDescent="0.3">
      <c r="A111" s="1">
        <v>46069</v>
      </c>
      <c r="B111" t="s">
        <v>100</v>
      </c>
      <c r="C111" t="s">
        <v>101</v>
      </c>
      <c r="D111">
        <v>30156</v>
      </c>
    </row>
    <row r="112" spans="1:4" x14ac:dyDescent="0.3">
      <c r="A112" s="1">
        <v>46124</v>
      </c>
      <c r="B112" t="s">
        <v>99</v>
      </c>
      <c r="C112" t="s">
        <v>95</v>
      </c>
      <c r="D112">
        <v>28775</v>
      </c>
    </row>
    <row r="113" spans="1:4" x14ac:dyDescent="0.3">
      <c r="A113" s="1">
        <v>46031</v>
      </c>
      <c r="B113" t="s">
        <v>96</v>
      </c>
      <c r="C113" t="s">
        <v>95</v>
      </c>
      <c r="D113">
        <v>58838</v>
      </c>
    </row>
    <row r="114" spans="1:4" x14ac:dyDescent="0.3">
      <c r="A114" s="1">
        <v>46082</v>
      </c>
      <c r="B114" t="s">
        <v>100</v>
      </c>
      <c r="C114" t="s">
        <v>98</v>
      </c>
      <c r="D114">
        <v>55005</v>
      </c>
    </row>
    <row r="115" spans="1:4" x14ac:dyDescent="0.3">
      <c r="A115" s="1">
        <v>46051</v>
      </c>
      <c r="B115" t="s">
        <v>96</v>
      </c>
      <c r="C115" t="s">
        <v>98</v>
      </c>
      <c r="D115">
        <v>50462</v>
      </c>
    </row>
    <row r="116" spans="1:4" x14ac:dyDescent="0.3">
      <c r="A116" s="1">
        <v>46132</v>
      </c>
      <c r="B116" t="s">
        <v>100</v>
      </c>
      <c r="C116" t="s">
        <v>98</v>
      </c>
      <c r="D116">
        <v>18215</v>
      </c>
    </row>
    <row r="117" spans="1:4" x14ac:dyDescent="0.3">
      <c r="A117" s="1">
        <v>46024</v>
      </c>
      <c r="B117" t="s">
        <v>94</v>
      </c>
      <c r="C117" t="s">
        <v>97</v>
      </c>
      <c r="D117">
        <v>23439</v>
      </c>
    </row>
    <row r="118" spans="1:4" x14ac:dyDescent="0.3">
      <c r="A118" s="1">
        <v>46050</v>
      </c>
      <c r="B118" t="s">
        <v>99</v>
      </c>
      <c r="C118" t="s">
        <v>98</v>
      </c>
      <c r="D118">
        <v>40167</v>
      </c>
    </row>
    <row r="119" spans="1:4" x14ac:dyDescent="0.3">
      <c r="A119" s="1">
        <v>46059</v>
      </c>
      <c r="B119" t="s">
        <v>100</v>
      </c>
      <c r="C119" t="s">
        <v>97</v>
      </c>
      <c r="D119">
        <v>17311</v>
      </c>
    </row>
    <row r="120" spans="1:4" x14ac:dyDescent="0.3">
      <c r="A120" s="1">
        <v>46114</v>
      </c>
      <c r="B120" t="s">
        <v>99</v>
      </c>
      <c r="C120" t="s">
        <v>101</v>
      </c>
      <c r="D120">
        <v>36413</v>
      </c>
    </row>
    <row r="121" spans="1:4" x14ac:dyDescent="0.3">
      <c r="A121" s="1">
        <v>46062</v>
      </c>
      <c r="B121" t="s">
        <v>96</v>
      </c>
      <c r="C121" t="s">
        <v>98</v>
      </c>
      <c r="D121">
        <v>11759</v>
      </c>
    </row>
    <row r="122" spans="1:4" x14ac:dyDescent="0.3">
      <c r="A122" s="1">
        <v>46096</v>
      </c>
      <c r="B122" t="s">
        <v>96</v>
      </c>
      <c r="C122" t="s">
        <v>95</v>
      </c>
      <c r="D122">
        <v>12995</v>
      </c>
    </row>
    <row r="123" spans="1:4" x14ac:dyDescent="0.3">
      <c r="A123" s="1">
        <v>46052</v>
      </c>
      <c r="B123" t="s">
        <v>99</v>
      </c>
      <c r="C123" t="s">
        <v>97</v>
      </c>
      <c r="D123">
        <v>10337</v>
      </c>
    </row>
    <row r="124" spans="1:4" x14ac:dyDescent="0.3">
      <c r="A124" s="1">
        <v>46111</v>
      </c>
      <c r="B124" t="s">
        <v>94</v>
      </c>
      <c r="C124" t="s">
        <v>97</v>
      </c>
      <c r="D124">
        <v>36887</v>
      </c>
    </row>
    <row r="125" spans="1:4" x14ac:dyDescent="0.3">
      <c r="A125" s="1">
        <v>46075</v>
      </c>
      <c r="B125" t="s">
        <v>99</v>
      </c>
      <c r="C125" t="s">
        <v>97</v>
      </c>
      <c r="D125">
        <v>59897</v>
      </c>
    </row>
    <row r="126" spans="1:4" x14ac:dyDescent="0.3">
      <c r="A126" s="1">
        <v>46140</v>
      </c>
      <c r="B126" t="s">
        <v>100</v>
      </c>
      <c r="C126" t="s">
        <v>97</v>
      </c>
      <c r="D126">
        <v>59009</v>
      </c>
    </row>
    <row r="127" spans="1:4" x14ac:dyDescent="0.3">
      <c r="A127" s="1">
        <v>46033</v>
      </c>
      <c r="B127" t="s">
        <v>100</v>
      </c>
      <c r="C127" t="s">
        <v>97</v>
      </c>
      <c r="D127">
        <v>33989</v>
      </c>
    </row>
    <row r="128" spans="1:4" x14ac:dyDescent="0.3">
      <c r="A128" s="1">
        <v>46076</v>
      </c>
      <c r="B128" t="s">
        <v>100</v>
      </c>
      <c r="C128" t="s">
        <v>98</v>
      </c>
      <c r="D128">
        <v>27231</v>
      </c>
    </row>
    <row r="129" spans="1:4" x14ac:dyDescent="0.3">
      <c r="A129" s="1">
        <v>46138</v>
      </c>
      <c r="B129" t="s">
        <v>96</v>
      </c>
      <c r="C129" t="s">
        <v>97</v>
      </c>
      <c r="D129">
        <v>46393</v>
      </c>
    </row>
    <row r="130" spans="1:4" x14ac:dyDescent="0.3">
      <c r="A130" s="1">
        <v>46140</v>
      </c>
      <c r="B130" t="s">
        <v>96</v>
      </c>
      <c r="C130" t="s">
        <v>95</v>
      </c>
      <c r="D130">
        <v>42907</v>
      </c>
    </row>
    <row r="131" spans="1:4" x14ac:dyDescent="0.3">
      <c r="A131" s="1">
        <v>46046</v>
      </c>
      <c r="B131" t="s">
        <v>94</v>
      </c>
      <c r="C131" t="s">
        <v>97</v>
      </c>
      <c r="D131">
        <v>48430</v>
      </c>
    </row>
    <row r="132" spans="1:4" x14ac:dyDescent="0.3">
      <c r="A132" s="1">
        <v>46102</v>
      </c>
      <c r="B132" t="s">
        <v>99</v>
      </c>
      <c r="C132" t="s">
        <v>98</v>
      </c>
      <c r="D132">
        <v>25704</v>
      </c>
    </row>
    <row r="133" spans="1:4" x14ac:dyDescent="0.3">
      <c r="A133" s="1">
        <v>46136</v>
      </c>
      <c r="B133" t="s">
        <v>96</v>
      </c>
      <c r="C133" t="s">
        <v>95</v>
      </c>
      <c r="D133">
        <v>27970</v>
      </c>
    </row>
    <row r="134" spans="1:4" x14ac:dyDescent="0.3">
      <c r="A134" s="1">
        <v>46143</v>
      </c>
      <c r="B134" t="s">
        <v>99</v>
      </c>
      <c r="C134" t="s">
        <v>95</v>
      </c>
      <c r="D134">
        <v>43350</v>
      </c>
    </row>
    <row r="135" spans="1:4" x14ac:dyDescent="0.3">
      <c r="A135" s="1">
        <v>46118</v>
      </c>
      <c r="B135" t="s">
        <v>100</v>
      </c>
      <c r="C135" t="s">
        <v>95</v>
      </c>
      <c r="D135">
        <v>58734</v>
      </c>
    </row>
    <row r="136" spans="1:4" x14ac:dyDescent="0.3">
      <c r="A136" s="1">
        <v>46047</v>
      </c>
      <c r="B136" t="s">
        <v>99</v>
      </c>
      <c r="C136" t="s">
        <v>98</v>
      </c>
      <c r="D136">
        <v>27747</v>
      </c>
    </row>
    <row r="137" spans="1:4" x14ac:dyDescent="0.3">
      <c r="A137" s="1">
        <v>46110</v>
      </c>
      <c r="B137" t="s">
        <v>100</v>
      </c>
      <c r="C137" t="s">
        <v>101</v>
      </c>
      <c r="D137">
        <v>13493</v>
      </c>
    </row>
    <row r="138" spans="1:4" x14ac:dyDescent="0.3">
      <c r="A138" s="1">
        <v>46066</v>
      </c>
      <c r="B138" t="s">
        <v>94</v>
      </c>
      <c r="C138" t="s">
        <v>97</v>
      </c>
      <c r="D138">
        <v>8058</v>
      </c>
    </row>
    <row r="139" spans="1:4" x14ac:dyDescent="0.3">
      <c r="A139" s="1">
        <v>46127</v>
      </c>
      <c r="B139" t="s">
        <v>96</v>
      </c>
      <c r="C139" t="s">
        <v>98</v>
      </c>
      <c r="D139">
        <v>26832</v>
      </c>
    </row>
    <row r="140" spans="1:4" x14ac:dyDescent="0.3">
      <c r="A140" s="1">
        <v>46024</v>
      </c>
      <c r="B140" t="s">
        <v>100</v>
      </c>
      <c r="C140" t="s">
        <v>98</v>
      </c>
      <c r="D140">
        <v>5531</v>
      </c>
    </row>
    <row r="141" spans="1:4" x14ac:dyDescent="0.3">
      <c r="A141" s="1">
        <v>46141</v>
      </c>
      <c r="B141" t="s">
        <v>94</v>
      </c>
      <c r="C141" t="s">
        <v>97</v>
      </c>
      <c r="D141">
        <v>6080</v>
      </c>
    </row>
    <row r="142" spans="1:4" x14ac:dyDescent="0.3">
      <c r="A142" s="1">
        <v>46086</v>
      </c>
      <c r="B142" t="s">
        <v>100</v>
      </c>
      <c r="C142" t="s">
        <v>101</v>
      </c>
      <c r="D142">
        <v>25823</v>
      </c>
    </row>
    <row r="143" spans="1:4" x14ac:dyDescent="0.3">
      <c r="A143" s="1">
        <v>46032</v>
      </c>
      <c r="B143" t="s">
        <v>99</v>
      </c>
      <c r="C143" t="s">
        <v>98</v>
      </c>
      <c r="D143">
        <v>42623</v>
      </c>
    </row>
    <row r="144" spans="1:4" x14ac:dyDescent="0.3">
      <c r="A144" s="1">
        <v>46093</v>
      </c>
      <c r="B144" t="s">
        <v>94</v>
      </c>
      <c r="C144" t="s">
        <v>101</v>
      </c>
      <c r="D144">
        <v>5108</v>
      </c>
    </row>
    <row r="145" spans="1:4" x14ac:dyDescent="0.3">
      <c r="A145" s="1">
        <v>46067</v>
      </c>
      <c r="B145" t="s">
        <v>99</v>
      </c>
      <c r="C145" t="s">
        <v>101</v>
      </c>
      <c r="D145">
        <v>14529</v>
      </c>
    </row>
    <row r="146" spans="1:4" x14ac:dyDescent="0.3">
      <c r="A146" s="1">
        <v>46054</v>
      </c>
      <c r="B146" t="s">
        <v>100</v>
      </c>
      <c r="C146" t="s">
        <v>101</v>
      </c>
      <c r="D146">
        <v>42821</v>
      </c>
    </row>
    <row r="147" spans="1:4" x14ac:dyDescent="0.3">
      <c r="A147" s="1">
        <v>46027</v>
      </c>
      <c r="B147" t="s">
        <v>96</v>
      </c>
      <c r="C147" t="s">
        <v>98</v>
      </c>
      <c r="D147">
        <v>24259</v>
      </c>
    </row>
    <row r="148" spans="1:4" x14ac:dyDescent="0.3">
      <c r="A148" s="1">
        <v>46136</v>
      </c>
      <c r="B148" t="s">
        <v>96</v>
      </c>
      <c r="C148" t="s">
        <v>98</v>
      </c>
      <c r="D148">
        <v>16932</v>
      </c>
    </row>
    <row r="149" spans="1:4" x14ac:dyDescent="0.3">
      <c r="A149" s="1">
        <v>46068</v>
      </c>
      <c r="B149" t="s">
        <v>94</v>
      </c>
      <c r="C149" t="s">
        <v>97</v>
      </c>
      <c r="D149">
        <v>24328</v>
      </c>
    </row>
    <row r="150" spans="1:4" x14ac:dyDescent="0.3">
      <c r="A150" s="1">
        <v>46099</v>
      </c>
      <c r="B150" t="s">
        <v>99</v>
      </c>
      <c r="C150" t="s">
        <v>98</v>
      </c>
      <c r="D150">
        <v>8991</v>
      </c>
    </row>
    <row r="151" spans="1:4" x14ac:dyDescent="0.3">
      <c r="A151" s="1">
        <v>46076</v>
      </c>
      <c r="B151" t="s">
        <v>99</v>
      </c>
      <c r="C151" t="s">
        <v>101</v>
      </c>
      <c r="D151">
        <v>29153</v>
      </c>
    </row>
    <row r="152" spans="1:4" x14ac:dyDescent="0.3">
      <c r="A152" s="1">
        <v>46095</v>
      </c>
      <c r="B152" t="s">
        <v>96</v>
      </c>
      <c r="C152" t="s">
        <v>95</v>
      </c>
      <c r="D152">
        <v>10311</v>
      </c>
    </row>
    <row r="153" spans="1:4" x14ac:dyDescent="0.3">
      <c r="A153" s="1">
        <v>46118</v>
      </c>
      <c r="B153" t="s">
        <v>94</v>
      </c>
      <c r="C153" t="s">
        <v>98</v>
      </c>
      <c r="D153">
        <v>7044</v>
      </c>
    </row>
    <row r="154" spans="1:4" x14ac:dyDescent="0.3">
      <c r="A154" s="1">
        <v>46111</v>
      </c>
      <c r="B154" t="s">
        <v>96</v>
      </c>
      <c r="C154" t="s">
        <v>98</v>
      </c>
      <c r="D154">
        <v>22645</v>
      </c>
    </row>
    <row r="155" spans="1:4" x14ac:dyDescent="0.3">
      <c r="A155" s="1">
        <v>46134</v>
      </c>
      <c r="B155" t="s">
        <v>94</v>
      </c>
      <c r="C155" t="s">
        <v>97</v>
      </c>
      <c r="D155">
        <v>40376</v>
      </c>
    </row>
    <row r="156" spans="1:4" x14ac:dyDescent="0.3">
      <c r="A156" s="1">
        <v>46139</v>
      </c>
      <c r="B156" t="s">
        <v>96</v>
      </c>
      <c r="C156" t="s">
        <v>101</v>
      </c>
      <c r="D156">
        <v>34129</v>
      </c>
    </row>
    <row r="157" spans="1:4" x14ac:dyDescent="0.3">
      <c r="A157" s="1">
        <v>46048</v>
      </c>
      <c r="B157" t="s">
        <v>100</v>
      </c>
      <c r="C157" t="s">
        <v>101</v>
      </c>
      <c r="D157">
        <v>27943</v>
      </c>
    </row>
    <row r="158" spans="1:4" x14ac:dyDescent="0.3">
      <c r="A158" s="1">
        <v>46076</v>
      </c>
      <c r="B158" t="s">
        <v>94</v>
      </c>
      <c r="C158" t="s">
        <v>101</v>
      </c>
      <c r="D158">
        <v>41261</v>
      </c>
    </row>
    <row r="159" spans="1:4" x14ac:dyDescent="0.3">
      <c r="A159" s="1">
        <v>46109</v>
      </c>
      <c r="B159" t="s">
        <v>99</v>
      </c>
      <c r="C159" t="s">
        <v>98</v>
      </c>
      <c r="D159">
        <v>40661</v>
      </c>
    </row>
    <row r="160" spans="1:4" x14ac:dyDescent="0.3">
      <c r="A160" s="1">
        <v>46140</v>
      </c>
      <c r="B160" t="s">
        <v>100</v>
      </c>
      <c r="C160" t="s">
        <v>98</v>
      </c>
      <c r="D160">
        <v>48899</v>
      </c>
    </row>
    <row r="161" spans="1:4" x14ac:dyDescent="0.3">
      <c r="A161" s="1">
        <v>46032</v>
      </c>
      <c r="B161" t="s">
        <v>94</v>
      </c>
      <c r="C161" t="s">
        <v>97</v>
      </c>
      <c r="D161">
        <v>40834</v>
      </c>
    </row>
    <row r="162" spans="1:4" x14ac:dyDescent="0.3">
      <c r="A162" s="1">
        <v>46107</v>
      </c>
      <c r="B162" t="s">
        <v>96</v>
      </c>
      <c r="C162" t="s">
        <v>97</v>
      </c>
      <c r="D162">
        <v>44647</v>
      </c>
    </row>
    <row r="163" spans="1:4" x14ac:dyDescent="0.3">
      <c r="A163" s="1">
        <v>46048</v>
      </c>
      <c r="B163" t="s">
        <v>96</v>
      </c>
      <c r="C163" t="s">
        <v>101</v>
      </c>
      <c r="D163">
        <v>48003</v>
      </c>
    </row>
    <row r="164" spans="1:4" x14ac:dyDescent="0.3">
      <c r="A164" s="1">
        <v>46115</v>
      </c>
      <c r="B164" t="s">
        <v>94</v>
      </c>
      <c r="C164" t="s">
        <v>95</v>
      </c>
      <c r="D164">
        <v>18347</v>
      </c>
    </row>
    <row r="165" spans="1:4" x14ac:dyDescent="0.3">
      <c r="A165" s="1">
        <v>46030</v>
      </c>
      <c r="B165" t="s">
        <v>96</v>
      </c>
      <c r="C165" t="s">
        <v>101</v>
      </c>
      <c r="D165">
        <v>31524</v>
      </c>
    </row>
    <row r="166" spans="1:4" x14ac:dyDescent="0.3">
      <c r="A166" s="1">
        <v>46130</v>
      </c>
      <c r="B166" t="s">
        <v>99</v>
      </c>
      <c r="C166" t="s">
        <v>97</v>
      </c>
      <c r="D166">
        <v>15447</v>
      </c>
    </row>
    <row r="167" spans="1:4" x14ac:dyDescent="0.3">
      <c r="A167" s="1">
        <v>46137</v>
      </c>
      <c r="B167" t="s">
        <v>100</v>
      </c>
      <c r="C167" t="s">
        <v>101</v>
      </c>
      <c r="D167">
        <v>14481</v>
      </c>
    </row>
    <row r="168" spans="1:4" x14ac:dyDescent="0.3">
      <c r="A168" s="1">
        <v>46126</v>
      </c>
      <c r="B168" t="s">
        <v>94</v>
      </c>
      <c r="C168" t="s">
        <v>95</v>
      </c>
      <c r="D168">
        <v>31847</v>
      </c>
    </row>
    <row r="169" spans="1:4" x14ac:dyDescent="0.3">
      <c r="A169" s="1">
        <v>46072</v>
      </c>
      <c r="B169" t="s">
        <v>100</v>
      </c>
      <c r="C169" t="s">
        <v>101</v>
      </c>
      <c r="D169">
        <v>38440</v>
      </c>
    </row>
    <row r="170" spans="1:4" x14ac:dyDescent="0.3">
      <c r="A170" s="1">
        <v>46051</v>
      </c>
      <c r="B170" t="s">
        <v>94</v>
      </c>
      <c r="C170" t="s">
        <v>97</v>
      </c>
      <c r="D170">
        <v>43561</v>
      </c>
    </row>
    <row r="171" spans="1:4" x14ac:dyDescent="0.3">
      <c r="A171" s="1">
        <v>46100</v>
      </c>
      <c r="B171" t="s">
        <v>94</v>
      </c>
      <c r="C171" t="s">
        <v>97</v>
      </c>
      <c r="D171">
        <v>4444</v>
      </c>
    </row>
    <row r="172" spans="1:4" x14ac:dyDescent="0.3">
      <c r="A172" s="1">
        <v>46086</v>
      </c>
      <c r="B172" t="s">
        <v>96</v>
      </c>
      <c r="C172" t="s">
        <v>97</v>
      </c>
      <c r="D172">
        <v>57754</v>
      </c>
    </row>
    <row r="173" spans="1:4" x14ac:dyDescent="0.3">
      <c r="A173" s="1">
        <v>46028</v>
      </c>
      <c r="B173" t="s">
        <v>96</v>
      </c>
      <c r="C173" t="s">
        <v>95</v>
      </c>
      <c r="D173">
        <v>19361</v>
      </c>
    </row>
    <row r="174" spans="1:4" x14ac:dyDescent="0.3">
      <c r="A174" s="1">
        <v>46042</v>
      </c>
      <c r="B174" t="s">
        <v>96</v>
      </c>
      <c r="C174" t="s">
        <v>101</v>
      </c>
      <c r="D174">
        <v>16671</v>
      </c>
    </row>
    <row r="175" spans="1:4" x14ac:dyDescent="0.3">
      <c r="A175" s="1">
        <v>46074</v>
      </c>
      <c r="B175" t="s">
        <v>99</v>
      </c>
      <c r="C175" t="s">
        <v>98</v>
      </c>
      <c r="D175">
        <v>24675</v>
      </c>
    </row>
    <row r="176" spans="1:4" x14ac:dyDescent="0.3">
      <c r="A176" s="1">
        <v>46057</v>
      </c>
      <c r="B176" t="s">
        <v>94</v>
      </c>
      <c r="C176" t="s">
        <v>98</v>
      </c>
      <c r="D176">
        <v>2610</v>
      </c>
    </row>
    <row r="177" spans="1:4" x14ac:dyDescent="0.3">
      <c r="A177" s="1">
        <v>46125</v>
      </c>
      <c r="B177" t="s">
        <v>99</v>
      </c>
      <c r="C177" t="s">
        <v>97</v>
      </c>
      <c r="D177">
        <v>56318</v>
      </c>
    </row>
    <row r="178" spans="1:4" x14ac:dyDescent="0.3">
      <c r="A178" s="1">
        <v>46041</v>
      </c>
      <c r="B178" t="s">
        <v>100</v>
      </c>
      <c r="C178" t="s">
        <v>97</v>
      </c>
      <c r="D178">
        <v>41336</v>
      </c>
    </row>
    <row r="179" spans="1:4" x14ac:dyDescent="0.3">
      <c r="A179" s="1">
        <v>46037</v>
      </c>
      <c r="B179" t="s">
        <v>100</v>
      </c>
      <c r="C179" t="s">
        <v>95</v>
      </c>
      <c r="D179">
        <v>24565</v>
      </c>
    </row>
    <row r="180" spans="1:4" x14ac:dyDescent="0.3">
      <c r="A180" s="1">
        <v>46086</v>
      </c>
      <c r="B180" t="s">
        <v>96</v>
      </c>
      <c r="C180" t="s">
        <v>101</v>
      </c>
      <c r="D180">
        <v>24446</v>
      </c>
    </row>
    <row r="181" spans="1:4" x14ac:dyDescent="0.3">
      <c r="A181" s="1">
        <v>46060</v>
      </c>
      <c r="B181" t="s">
        <v>96</v>
      </c>
      <c r="C181" t="s">
        <v>101</v>
      </c>
      <c r="D181">
        <v>14911</v>
      </c>
    </row>
    <row r="182" spans="1:4" x14ac:dyDescent="0.3">
      <c r="A182" s="1">
        <v>46037</v>
      </c>
      <c r="B182" t="s">
        <v>99</v>
      </c>
      <c r="C182" t="s">
        <v>98</v>
      </c>
      <c r="D182">
        <v>10573</v>
      </c>
    </row>
    <row r="183" spans="1:4" x14ac:dyDescent="0.3">
      <c r="A183" s="1">
        <v>46028</v>
      </c>
      <c r="B183" t="s">
        <v>96</v>
      </c>
      <c r="C183" t="s">
        <v>101</v>
      </c>
      <c r="D183">
        <v>48837</v>
      </c>
    </row>
    <row r="184" spans="1:4" x14ac:dyDescent="0.3">
      <c r="A184" s="1">
        <v>46106</v>
      </c>
      <c r="B184" t="s">
        <v>96</v>
      </c>
      <c r="C184" t="s">
        <v>101</v>
      </c>
      <c r="D184">
        <v>27137</v>
      </c>
    </row>
    <row r="185" spans="1:4" x14ac:dyDescent="0.3">
      <c r="A185" s="1">
        <v>46109</v>
      </c>
      <c r="B185" t="s">
        <v>94</v>
      </c>
      <c r="C185" t="s">
        <v>98</v>
      </c>
      <c r="D185">
        <v>2311</v>
      </c>
    </row>
    <row r="186" spans="1:4" x14ac:dyDescent="0.3">
      <c r="A186" s="1">
        <v>46118</v>
      </c>
      <c r="B186" t="s">
        <v>96</v>
      </c>
      <c r="C186" t="s">
        <v>95</v>
      </c>
      <c r="D186">
        <v>56279</v>
      </c>
    </row>
    <row r="187" spans="1:4" x14ac:dyDescent="0.3">
      <c r="A187" s="1">
        <v>46096</v>
      </c>
      <c r="B187" t="s">
        <v>94</v>
      </c>
      <c r="C187" t="s">
        <v>97</v>
      </c>
      <c r="D187">
        <v>20837</v>
      </c>
    </row>
    <row r="188" spans="1:4" x14ac:dyDescent="0.3">
      <c r="A188" s="1">
        <v>46089</v>
      </c>
      <c r="B188" t="s">
        <v>100</v>
      </c>
      <c r="C188" t="s">
        <v>95</v>
      </c>
      <c r="D188">
        <v>28592</v>
      </c>
    </row>
    <row r="189" spans="1:4" x14ac:dyDescent="0.3">
      <c r="A189" s="1">
        <v>46037</v>
      </c>
      <c r="B189" t="s">
        <v>100</v>
      </c>
      <c r="C189" t="s">
        <v>98</v>
      </c>
      <c r="D189">
        <v>17333</v>
      </c>
    </row>
    <row r="190" spans="1:4" x14ac:dyDescent="0.3">
      <c r="A190" s="1">
        <v>46133</v>
      </c>
      <c r="B190" t="s">
        <v>96</v>
      </c>
      <c r="C190" t="s">
        <v>98</v>
      </c>
      <c r="D190">
        <v>6661</v>
      </c>
    </row>
    <row r="191" spans="1:4" x14ac:dyDescent="0.3">
      <c r="A191" s="1">
        <v>46125</v>
      </c>
      <c r="B191" t="s">
        <v>94</v>
      </c>
      <c r="C191" t="s">
        <v>95</v>
      </c>
      <c r="D191">
        <v>47375</v>
      </c>
    </row>
    <row r="192" spans="1:4" x14ac:dyDescent="0.3">
      <c r="A192" s="1">
        <v>46027</v>
      </c>
      <c r="B192" t="s">
        <v>100</v>
      </c>
      <c r="C192" t="s">
        <v>97</v>
      </c>
      <c r="D192">
        <v>8846</v>
      </c>
    </row>
    <row r="193" spans="1:4" x14ac:dyDescent="0.3">
      <c r="A193" s="1">
        <v>46066</v>
      </c>
      <c r="B193" t="s">
        <v>96</v>
      </c>
      <c r="C193" t="s">
        <v>101</v>
      </c>
      <c r="D193">
        <v>28538</v>
      </c>
    </row>
    <row r="194" spans="1:4" x14ac:dyDescent="0.3">
      <c r="A194" s="1">
        <v>46071</v>
      </c>
      <c r="B194" t="s">
        <v>96</v>
      </c>
      <c r="C194" t="s">
        <v>98</v>
      </c>
      <c r="D194">
        <v>47651</v>
      </c>
    </row>
    <row r="195" spans="1:4" x14ac:dyDescent="0.3">
      <c r="A195" s="1">
        <v>46080</v>
      </c>
      <c r="B195" t="s">
        <v>94</v>
      </c>
      <c r="C195" t="s">
        <v>95</v>
      </c>
      <c r="D195">
        <v>55770</v>
      </c>
    </row>
    <row r="196" spans="1:4" x14ac:dyDescent="0.3">
      <c r="A196" s="1">
        <v>46104</v>
      </c>
      <c r="B196" t="s">
        <v>94</v>
      </c>
      <c r="C196" t="s">
        <v>97</v>
      </c>
      <c r="D196">
        <v>38926</v>
      </c>
    </row>
    <row r="197" spans="1:4" x14ac:dyDescent="0.3">
      <c r="A197" s="1">
        <v>46027</v>
      </c>
      <c r="B197" t="s">
        <v>99</v>
      </c>
      <c r="C197" t="s">
        <v>97</v>
      </c>
      <c r="D197">
        <v>46107</v>
      </c>
    </row>
    <row r="198" spans="1:4" x14ac:dyDescent="0.3">
      <c r="A198" s="1">
        <v>46056</v>
      </c>
      <c r="B198" t="s">
        <v>94</v>
      </c>
      <c r="C198" t="s">
        <v>95</v>
      </c>
      <c r="D198">
        <v>27015</v>
      </c>
    </row>
    <row r="199" spans="1:4" x14ac:dyDescent="0.3">
      <c r="A199" s="1">
        <v>46122</v>
      </c>
      <c r="B199" t="s">
        <v>94</v>
      </c>
      <c r="C199" t="s">
        <v>98</v>
      </c>
      <c r="D199">
        <v>9099</v>
      </c>
    </row>
    <row r="200" spans="1:4" x14ac:dyDescent="0.3">
      <c r="A200" s="1">
        <v>46064</v>
      </c>
      <c r="B200" t="s">
        <v>94</v>
      </c>
      <c r="C200" t="s">
        <v>97</v>
      </c>
      <c r="D200">
        <v>38556</v>
      </c>
    </row>
    <row r="201" spans="1:4" x14ac:dyDescent="0.3">
      <c r="A201" s="1">
        <v>46131</v>
      </c>
      <c r="B201" t="s">
        <v>100</v>
      </c>
      <c r="C201" t="s">
        <v>98</v>
      </c>
      <c r="D201">
        <v>19224</v>
      </c>
    </row>
    <row r="202" spans="1:4" x14ac:dyDescent="0.3">
      <c r="A202" s="1">
        <v>46103</v>
      </c>
      <c r="B202" t="s">
        <v>100</v>
      </c>
      <c r="C202" t="s">
        <v>98</v>
      </c>
      <c r="D202">
        <v>10090</v>
      </c>
    </row>
    <row r="203" spans="1:4" x14ac:dyDescent="0.3">
      <c r="A203" s="1">
        <v>46053</v>
      </c>
      <c r="B203" t="s">
        <v>99</v>
      </c>
      <c r="C203" t="s">
        <v>98</v>
      </c>
      <c r="D203">
        <v>33857</v>
      </c>
    </row>
    <row r="204" spans="1:4" x14ac:dyDescent="0.3">
      <c r="A204" s="1">
        <v>46136</v>
      </c>
      <c r="B204" t="s">
        <v>100</v>
      </c>
      <c r="C204" t="s">
        <v>97</v>
      </c>
      <c r="D204">
        <v>3759</v>
      </c>
    </row>
    <row r="205" spans="1:4" x14ac:dyDescent="0.3">
      <c r="A205" s="1">
        <v>46115</v>
      </c>
      <c r="B205" t="s">
        <v>96</v>
      </c>
      <c r="C205" t="s">
        <v>98</v>
      </c>
      <c r="D205">
        <v>46105</v>
      </c>
    </row>
    <row r="206" spans="1:4" x14ac:dyDescent="0.3">
      <c r="A206" s="1">
        <v>46067</v>
      </c>
      <c r="B206" t="s">
        <v>99</v>
      </c>
      <c r="C206" t="s">
        <v>98</v>
      </c>
      <c r="D206">
        <v>14302</v>
      </c>
    </row>
    <row r="207" spans="1:4" x14ac:dyDescent="0.3">
      <c r="A207" s="1">
        <v>46134</v>
      </c>
      <c r="B207" t="s">
        <v>94</v>
      </c>
      <c r="C207" t="s">
        <v>95</v>
      </c>
      <c r="D207">
        <v>26615</v>
      </c>
    </row>
    <row r="208" spans="1:4" x14ac:dyDescent="0.3">
      <c r="A208" s="1">
        <v>46094</v>
      </c>
      <c r="B208" t="s">
        <v>100</v>
      </c>
      <c r="C208" t="s">
        <v>101</v>
      </c>
      <c r="D208">
        <v>55530</v>
      </c>
    </row>
    <row r="209" spans="1:4" x14ac:dyDescent="0.3">
      <c r="A209" s="1">
        <v>46106</v>
      </c>
      <c r="B209" t="s">
        <v>100</v>
      </c>
      <c r="C209" t="s">
        <v>98</v>
      </c>
      <c r="D209">
        <v>2552</v>
      </c>
    </row>
    <row r="210" spans="1:4" x14ac:dyDescent="0.3">
      <c r="A210" s="1">
        <v>46060</v>
      </c>
      <c r="B210" t="s">
        <v>99</v>
      </c>
      <c r="C210" t="s">
        <v>101</v>
      </c>
      <c r="D210">
        <v>15917</v>
      </c>
    </row>
    <row r="211" spans="1:4" x14ac:dyDescent="0.3">
      <c r="A211" s="1">
        <v>46133</v>
      </c>
      <c r="B211" t="s">
        <v>99</v>
      </c>
      <c r="C211" t="s">
        <v>97</v>
      </c>
      <c r="D211">
        <v>19453</v>
      </c>
    </row>
    <row r="212" spans="1:4" x14ac:dyDescent="0.3">
      <c r="A212" s="1">
        <v>46065</v>
      </c>
      <c r="B212" t="s">
        <v>96</v>
      </c>
      <c r="C212" t="s">
        <v>101</v>
      </c>
      <c r="D212">
        <v>38765</v>
      </c>
    </row>
    <row r="213" spans="1:4" x14ac:dyDescent="0.3">
      <c r="A213" s="1">
        <v>46023</v>
      </c>
      <c r="B213" t="s">
        <v>99</v>
      </c>
      <c r="C213" t="s">
        <v>98</v>
      </c>
      <c r="D213">
        <v>2465</v>
      </c>
    </row>
    <row r="214" spans="1:4" x14ac:dyDescent="0.3">
      <c r="A214" s="1">
        <v>46133</v>
      </c>
      <c r="B214" t="s">
        <v>94</v>
      </c>
      <c r="C214" t="s">
        <v>95</v>
      </c>
      <c r="D214">
        <v>20478</v>
      </c>
    </row>
    <row r="215" spans="1:4" x14ac:dyDescent="0.3">
      <c r="A215" s="1">
        <v>46142</v>
      </c>
      <c r="B215" t="s">
        <v>99</v>
      </c>
      <c r="C215" t="s">
        <v>98</v>
      </c>
      <c r="D215">
        <v>51273</v>
      </c>
    </row>
    <row r="216" spans="1:4" x14ac:dyDescent="0.3">
      <c r="A216" s="1">
        <v>46133</v>
      </c>
      <c r="B216" t="s">
        <v>94</v>
      </c>
      <c r="C216" t="s">
        <v>101</v>
      </c>
      <c r="D216">
        <v>37603</v>
      </c>
    </row>
    <row r="217" spans="1:4" x14ac:dyDescent="0.3">
      <c r="A217" s="1">
        <v>46121</v>
      </c>
      <c r="B217" t="s">
        <v>96</v>
      </c>
      <c r="C217" t="s">
        <v>98</v>
      </c>
      <c r="D217">
        <v>24165</v>
      </c>
    </row>
    <row r="218" spans="1:4" x14ac:dyDescent="0.3">
      <c r="A218" s="1">
        <v>46090</v>
      </c>
      <c r="B218" t="s">
        <v>96</v>
      </c>
      <c r="C218" t="s">
        <v>98</v>
      </c>
      <c r="D218">
        <v>15237</v>
      </c>
    </row>
    <row r="219" spans="1:4" x14ac:dyDescent="0.3">
      <c r="A219" s="1">
        <v>46049</v>
      </c>
      <c r="B219" t="s">
        <v>99</v>
      </c>
      <c r="C219" t="s">
        <v>98</v>
      </c>
      <c r="D219">
        <v>13228</v>
      </c>
    </row>
    <row r="220" spans="1:4" x14ac:dyDescent="0.3">
      <c r="A220" s="1">
        <v>46070</v>
      </c>
      <c r="B220" t="s">
        <v>100</v>
      </c>
      <c r="C220" t="s">
        <v>97</v>
      </c>
      <c r="D220">
        <v>42147</v>
      </c>
    </row>
    <row r="221" spans="1:4" x14ac:dyDescent="0.3">
      <c r="A221" s="1">
        <v>46052</v>
      </c>
      <c r="B221" t="s">
        <v>96</v>
      </c>
      <c r="C221" t="s">
        <v>98</v>
      </c>
      <c r="D221">
        <v>24466</v>
      </c>
    </row>
    <row r="222" spans="1:4" x14ac:dyDescent="0.3">
      <c r="A222" s="1">
        <v>46049</v>
      </c>
      <c r="B222" t="s">
        <v>99</v>
      </c>
      <c r="C222" t="s">
        <v>98</v>
      </c>
      <c r="D222">
        <v>20471</v>
      </c>
    </row>
    <row r="223" spans="1:4" x14ac:dyDescent="0.3">
      <c r="A223" s="1">
        <v>46109</v>
      </c>
      <c r="B223" t="s">
        <v>96</v>
      </c>
      <c r="C223" t="s">
        <v>97</v>
      </c>
      <c r="D223">
        <v>18870</v>
      </c>
    </row>
    <row r="224" spans="1:4" x14ac:dyDescent="0.3">
      <c r="A224" s="1">
        <v>46092</v>
      </c>
      <c r="B224" t="s">
        <v>94</v>
      </c>
      <c r="C224" t="s">
        <v>98</v>
      </c>
      <c r="D224">
        <v>53950</v>
      </c>
    </row>
    <row r="225" spans="1:4" x14ac:dyDescent="0.3">
      <c r="A225" s="1">
        <v>46121</v>
      </c>
      <c r="B225" t="s">
        <v>99</v>
      </c>
      <c r="C225" t="s">
        <v>95</v>
      </c>
      <c r="D225">
        <v>50983</v>
      </c>
    </row>
    <row r="226" spans="1:4" x14ac:dyDescent="0.3">
      <c r="A226" s="1">
        <v>46043</v>
      </c>
      <c r="B226" t="s">
        <v>96</v>
      </c>
      <c r="C226" t="s">
        <v>98</v>
      </c>
      <c r="D226">
        <v>3162</v>
      </c>
    </row>
    <row r="227" spans="1:4" x14ac:dyDescent="0.3">
      <c r="A227" s="1">
        <v>46075</v>
      </c>
      <c r="B227" t="s">
        <v>94</v>
      </c>
      <c r="C227" t="s">
        <v>98</v>
      </c>
      <c r="D227">
        <v>57541</v>
      </c>
    </row>
    <row r="228" spans="1:4" x14ac:dyDescent="0.3">
      <c r="A228" s="1">
        <v>46069</v>
      </c>
      <c r="B228" t="s">
        <v>99</v>
      </c>
      <c r="C228" t="s">
        <v>95</v>
      </c>
      <c r="D228">
        <v>37560</v>
      </c>
    </row>
    <row r="229" spans="1:4" x14ac:dyDescent="0.3">
      <c r="A229" s="1">
        <v>46076</v>
      </c>
      <c r="B229" t="s">
        <v>99</v>
      </c>
      <c r="C229" t="s">
        <v>97</v>
      </c>
      <c r="D229">
        <v>22724</v>
      </c>
    </row>
    <row r="230" spans="1:4" x14ac:dyDescent="0.3">
      <c r="A230" s="1">
        <v>46066</v>
      </c>
      <c r="B230" t="s">
        <v>100</v>
      </c>
      <c r="C230" t="s">
        <v>97</v>
      </c>
      <c r="D230">
        <v>17906</v>
      </c>
    </row>
    <row r="231" spans="1:4" x14ac:dyDescent="0.3">
      <c r="A231" s="1">
        <v>46087</v>
      </c>
      <c r="B231" t="s">
        <v>94</v>
      </c>
      <c r="C231" t="s">
        <v>97</v>
      </c>
      <c r="D231">
        <v>3952</v>
      </c>
    </row>
    <row r="232" spans="1:4" x14ac:dyDescent="0.3">
      <c r="A232" s="1">
        <v>46127</v>
      </c>
      <c r="B232" t="s">
        <v>94</v>
      </c>
      <c r="C232" t="s">
        <v>97</v>
      </c>
      <c r="D232">
        <v>58359</v>
      </c>
    </row>
    <row r="233" spans="1:4" x14ac:dyDescent="0.3">
      <c r="A233" s="1">
        <v>46109</v>
      </c>
      <c r="B233" t="s">
        <v>99</v>
      </c>
      <c r="C233" t="s">
        <v>97</v>
      </c>
      <c r="D233">
        <v>56152</v>
      </c>
    </row>
    <row r="234" spans="1:4" x14ac:dyDescent="0.3">
      <c r="A234" s="1">
        <v>46075</v>
      </c>
      <c r="B234" t="s">
        <v>96</v>
      </c>
      <c r="C234" t="s">
        <v>101</v>
      </c>
      <c r="D234">
        <v>37478</v>
      </c>
    </row>
    <row r="235" spans="1:4" x14ac:dyDescent="0.3">
      <c r="A235" s="1">
        <v>46105</v>
      </c>
      <c r="B235" t="s">
        <v>100</v>
      </c>
      <c r="C235" t="s">
        <v>95</v>
      </c>
      <c r="D235">
        <v>54262</v>
      </c>
    </row>
    <row r="236" spans="1:4" x14ac:dyDescent="0.3">
      <c r="A236" s="1">
        <v>46096</v>
      </c>
      <c r="B236" t="s">
        <v>99</v>
      </c>
      <c r="C236" t="s">
        <v>98</v>
      </c>
      <c r="D236">
        <v>16577</v>
      </c>
    </row>
    <row r="237" spans="1:4" x14ac:dyDescent="0.3">
      <c r="A237" s="1">
        <v>46134</v>
      </c>
      <c r="B237" t="s">
        <v>96</v>
      </c>
      <c r="C237" t="s">
        <v>98</v>
      </c>
      <c r="D237">
        <v>10356</v>
      </c>
    </row>
    <row r="238" spans="1:4" x14ac:dyDescent="0.3">
      <c r="A238" s="1">
        <v>46106</v>
      </c>
      <c r="B238" t="s">
        <v>99</v>
      </c>
      <c r="C238" t="s">
        <v>95</v>
      </c>
      <c r="D238">
        <v>7258</v>
      </c>
    </row>
    <row r="239" spans="1:4" x14ac:dyDescent="0.3">
      <c r="A239" s="1">
        <v>46133</v>
      </c>
      <c r="B239" t="s">
        <v>96</v>
      </c>
      <c r="C239" t="s">
        <v>98</v>
      </c>
      <c r="D239">
        <v>45462</v>
      </c>
    </row>
    <row r="240" spans="1:4" x14ac:dyDescent="0.3">
      <c r="A240" s="1">
        <v>46098</v>
      </c>
      <c r="B240" t="s">
        <v>100</v>
      </c>
      <c r="C240" t="s">
        <v>101</v>
      </c>
      <c r="D240">
        <v>25438</v>
      </c>
    </row>
    <row r="241" spans="1:4" x14ac:dyDescent="0.3">
      <c r="A241" s="1">
        <v>46048</v>
      </c>
      <c r="B241" t="s">
        <v>99</v>
      </c>
      <c r="C241" t="s">
        <v>97</v>
      </c>
      <c r="D241">
        <v>19861</v>
      </c>
    </row>
    <row r="242" spans="1:4" x14ac:dyDescent="0.3">
      <c r="A242" s="1">
        <v>46039</v>
      </c>
      <c r="B242" t="s">
        <v>96</v>
      </c>
      <c r="C242" t="s">
        <v>98</v>
      </c>
      <c r="D242">
        <v>48902</v>
      </c>
    </row>
    <row r="243" spans="1:4" x14ac:dyDescent="0.3">
      <c r="A243" s="1">
        <v>46088</v>
      </c>
      <c r="B243" t="s">
        <v>99</v>
      </c>
      <c r="C243" t="s">
        <v>95</v>
      </c>
      <c r="D243">
        <v>48964</v>
      </c>
    </row>
    <row r="244" spans="1:4" x14ac:dyDescent="0.3">
      <c r="A244" s="1">
        <v>46075</v>
      </c>
      <c r="B244" t="s">
        <v>100</v>
      </c>
      <c r="C244" t="s">
        <v>101</v>
      </c>
      <c r="D244">
        <v>8757</v>
      </c>
    </row>
    <row r="245" spans="1:4" x14ac:dyDescent="0.3">
      <c r="A245" s="1">
        <v>46086</v>
      </c>
      <c r="B245" t="s">
        <v>99</v>
      </c>
      <c r="C245" t="s">
        <v>98</v>
      </c>
      <c r="D245">
        <v>48724</v>
      </c>
    </row>
    <row r="246" spans="1:4" x14ac:dyDescent="0.3">
      <c r="A246" s="1">
        <v>46121</v>
      </c>
      <c r="B246" t="s">
        <v>94</v>
      </c>
      <c r="C246" t="s">
        <v>101</v>
      </c>
      <c r="D246">
        <v>52897</v>
      </c>
    </row>
    <row r="247" spans="1:4" x14ac:dyDescent="0.3">
      <c r="A247" s="1">
        <v>46121</v>
      </c>
      <c r="B247" t="s">
        <v>99</v>
      </c>
      <c r="C247" t="s">
        <v>95</v>
      </c>
      <c r="D247">
        <v>17153</v>
      </c>
    </row>
    <row r="248" spans="1:4" x14ac:dyDescent="0.3">
      <c r="A248" s="1">
        <v>46067</v>
      </c>
      <c r="B248" t="s">
        <v>96</v>
      </c>
      <c r="C248" t="s">
        <v>101</v>
      </c>
      <c r="D248">
        <v>13447</v>
      </c>
    </row>
    <row r="249" spans="1:4" x14ac:dyDescent="0.3">
      <c r="A249" s="1">
        <v>46104</v>
      </c>
      <c r="B249" t="s">
        <v>96</v>
      </c>
      <c r="C249" t="s">
        <v>101</v>
      </c>
      <c r="D249">
        <v>19838</v>
      </c>
    </row>
    <row r="250" spans="1:4" x14ac:dyDescent="0.3">
      <c r="A250" s="1">
        <v>46132</v>
      </c>
      <c r="B250" t="s">
        <v>94</v>
      </c>
      <c r="C250" t="s">
        <v>101</v>
      </c>
      <c r="D250">
        <v>35752</v>
      </c>
    </row>
    <row r="251" spans="1:4" x14ac:dyDescent="0.3">
      <c r="A251" s="1">
        <v>46077</v>
      </c>
      <c r="B251" t="s">
        <v>99</v>
      </c>
      <c r="C251" t="s">
        <v>98</v>
      </c>
      <c r="D251">
        <v>40577</v>
      </c>
    </row>
    <row r="252" spans="1:4" x14ac:dyDescent="0.3">
      <c r="A252" s="1">
        <v>46118</v>
      </c>
      <c r="B252" t="s">
        <v>96</v>
      </c>
      <c r="C252" t="s">
        <v>95</v>
      </c>
      <c r="D252">
        <v>45440</v>
      </c>
    </row>
    <row r="253" spans="1:4" x14ac:dyDescent="0.3">
      <c r="A253" s="1">
        <v>46042</v>
      </c>
      <c r="B253" t="s">
        <v>94</v>
      </c>
      <c r="C253" t="s">
        <v>95</v>
      </c>
      <c r="D253">
        <v>6630</v>
      </c>
    </row>
    <row r="254" spans="1:4" x14ac:dyDescent="0.3">
      <c r="A254" s="1">
        <v>46094</v>
      </c>
      <c r="B254" t="s">
        <v>94</v>
      </c>
      <c r="C254" t="s">
        <v>101</v>
      </c>
      <c r="D254">
        <v>24763</v>
      </c>
    </row>
    <row r="255" spans="1:4" x14ac:dyDescent="0.3">
      <c r="A255" s="1">
        <v>46082</v>
      </c>
      <c r="B255" t="s">
        <v>94</v>
      </c>
      <c r="C255" t="s">
        <v>97</v>
      </c>
      <c r="D255">
        <v>28706</v>
      </c>
    </row>
    <row r="256" spans="1:4" x14ac:dyDescent="0.3">
      <c r="A256" s="1">
        <v>46131</v>
      </c>
      <c r="B256" t="s">
        <v>99</v>
      </c>
      <c r="C256" t="s">
        <v>98</v>
      </c>
      <c r="D256">
        <v>40497</v>
      </c>
    </row>
    <row r="257" spans="1:4" x14ac:dyDescent="0.3">
      <c r="A257" s="1">
        <v>46068</v>
      </c>
      <c r="B257" t="s">
        <v>94</v>
      </c>
      <c r="C257" t="s">
        <v>95</v>
      </c>
      <c r="D257">
        <v>7052</v>
      </c>
    </row>
    <row r="258" spans="1:4" x14ac:dyDescent="0.3">
      <c r="A258" s="1">
        <v>46094</v>
      </c>
      <c r="B258" t="s">
        <v>94</v>
      </c>
      <c r="C258" t="s">
        <v>98</v>
      </c>
      <c r="D258">
        <v>4412</v>
      </c>
    </row>
    <row r="259" spans="1:4" x14ac:dyDescent="0.3">
      <c r="A259" s="1">
        <v>46117</v>
      </c>
      <c r="B259" t="s">
        <v>100</v>
      </c>
      <c r="C259" t="s">
        <v>98</v>
      </c>
      <c r="D259">
        <v>50277</v>
      </c>
    </row>
    <row r="260" spans="1:4" x14ac:dyDescent="0.3">
      <c r="A260" s="1">
        <v>46057</v>
      </c>
      <c r="B260" t="s">
        <v>94</v>
      </c>
      <c r="C260" t="s">
        <v>95</v>
      </c>
      <c r="D260">
        <v>33213</v>
      </c>
    </row>
    <row r="261" spans="1:4" x14ac:dyDescent="0.3">
      <c r="A261" s="1">
        <v>46097</v>
      </c>
      <c r="B261" t="s">
        <v>100</v>
      </c>
      <c r="C261" t="s">
        <v>97</v>
      </c>
      <c r="D261">
        <v>37927</v>
      </c>
    </row>
    <row r="262" spans="1:4" x14ac:dyDescent="0.3">
      <c r="A262" s="1">
        <v>46141</v>
      </c>
      <c r="B262" t="s">
        <v>96</v>
      </c>
      <c r="C262" t="s">
        <v>98</v>
      </c>
      <c r="D262">
        <v>23983</v>
      </c>
    </row>
    <row r="263" spans="1:4" x14ac:dyDescent="0.3">
      <c r="A263" s="1">
        <v>46101</v>
      </c>
      <c r="B263" t="s">
        <v>99</v>
      </c>
      <c r="C263" t="s">
        <v>101</v>
      </c>
      <c r="D263">
        <v>40981</v>
      </c>
    </row>
    <row r="264" spans="1:4" x14ac:dyDescent="0.3">
      <c r="A264" s="1">
        <v>46118</v>
      </c>
      <c r="B264" t="s">
        <v>94</v>
      </c>
      <c r="C264" t="s">
        <v>95</v>
      </c>
      <c r="D264">
        <v>8556</v>
      </c>
    </row>
    <row r="265" spans="1:4" x14ac:dyDescent="0.3">
      <c r="A265" s="1">
        <v>46074</v>
      </c>
      <c r="B265" t="s">
        <v>99</v>
      </c>
      <c r="C265" t="s">
        <v>98</v>
      </c>
      <c r="D265">
        <v>9239</v>
      </c>
    </row>
    <row r="266" spans="1:4" x14ac:dyDescent="0.3">
      <c r="A266" s="1">
        <v>46025</v>
      </c>
      <c r="B266" t="s">
        <v>94</v>
      </c>
      <c r="C266" t="s">
        <v>101</v>
      </c>
      <c r="D266">
        <v>16390</v>
      </c>
    </row>
    <row r="267" spans="1:4" x14ac:dyDescent="0.3">
      <c r="A267" s="1">
        <v>46073</v>
      </c>
      <c r="B267" t="s">
        <v>99</v>
      </c>
      <c r="C267" t="s">
        <v>95</v>
      </c>
      <c r="D267">
        <v>27427</v>
      </c>
    </row>
    <row r="268" spans="1:4" x14ac:dyDescent="0.3">
      <c r="A268" s="1">
        <v>46102</v>
      </c>
      <c r="B268" t="s">
        <v>100</v>
      </c>
      <c r="C268" t="s">
        <v>97</v>
      </c>
      <c r="D268">
        <v>43045</v>
      </c>
    </row>
    <row r="269" spans="1:4" x14ac:dyDescent="0.3">
      <c r="A269" s="1">
        <v>46096</v>
      </c>
      <c r="B269" t="s">
        <v>96</v>
      </c>
      <c r="C269" t="s">
        <v>95</v>
      </c>
      <c r="D269">
        <v>13155</v>
      </c>
    </row>
    <row r="270" spans="1:4" x14ac:dyDescent="0.3">
      <c r="A270" s="1">
        <v>46038</v>
      </c>
      <c r="B270" t="s">
        <v>100</v>
      </c>
      <c r="C270" t="s">
        <v>97</v>
      </c>
      <c r="D270">
        <v>32118</v>
      </c>
    </row>
    <row r="271" spans="1:4" x14ac:dyDescent="0.3">
      <c r="A271" s="1">
        <v>46084</v>
      </c>
      <c r="B271" t="s">
        <v>94</v>
      </c>
      <c r="C271" t="s">
        <v>95</v>
      </c>
      <c r="D271">
        <v>8696</v>
      </c>
    </row>
    <row r="272" spans="1:4" x14ac:dyDescent="0.3">
      <c r="A272" s="1">
        <v>46115</v>
      </c>
      <c r="B272" t="s">
        <v>99</v>
      </c>
      <c r="C272" t="s">
        <v>95</v>
      </c>
      <c r="D272">
        <v>36132</v>
      </c>
    </row>
    <row r="273" spans="1:4" x14ac:dyDescent="0.3">
      <c r="A273" s="1">
        <v>46050</v>
      </c>
      <c r="B273" t="s">
        <v>99</v>
      </c>
      <c r="C273" t="s">
        <v>97</v>
      </c>
      <c r="D273">
        <v>54991</v>
      </c>
    </row>
    <row r="274" spans="1:4" x14ac:dyDescent="0.3">
      <c r="A274" s="1">
        <v>46106</v>
      </c>
      <c r="B274" t="s">
        <v>99</v>
      </c>
      <c r="C274" t="s">
        <v>98</v>
      </c>
      <c r="D274">
        <v>53591</v>
      </c>
    </row>
    <row r="275" spans="1:4" x14ac:dyDescent="0.3">
      <c r="A275" s="1">
        <v>46062</v>
      </c>
      <c r="B275" t="s">
        <v>99</v>
      </c>
      <c r="C275" t="s">
        <v>97</v>
      </c>
      <c r="D275">
        <v>46657</v>
      </c>
    </row>
    <row r="276" spans="1:4" x14ac:dyDescent="0.3">
      <c r="A276" s="1">
        <v>46051</v>
      </c>
      <c r="B276" t="s">
        <v>99</v>
      </c>
      <c r="C276" t="s">
        <v>98</v>
      </c>
      <c r="D276">
        <v>50003</v>
      </c>
    </row>
    <row r="277" spans="1:4" x14ac:dyDescent="0.3">
      <c r="A277" s="1">
        <v>46027</v>
      </c>
      <c r="B277" t="s">
        <v>96</v>
      </c>
      <c r="C277" t="s">
        <v>98</v>
      </c>
      <c r="D277">
        <v>41754</v>
      </c>
    </row>
    <row r="278" spans="1:4" x14ac:dyDescent="0.3">
      <c r="A278" s="1">
        <v>46141</v>
      </c>
      <c r="B278" t="s">
        <v>96</v>
      </c>
      <c r="C278" t="s">
        <v>97</v>
      </c>
      <c r="D278">
        <v>16256</v>
      </c>
    </row>
    <row r="279" spans="1:4" x14ac:dyDescent="0.3">
      <c r="A279" s="1">
        <v>46089</v>
      </c>
      <c r="B279" t="s">
        <v>96</v>
      </c>
      <c r="C279" t="s">
        <v>95</v>
      </c>
      <c r="D279">
        <v>17284</v>
      </c>
    </row>
    <row r="280" spans="1:4" x14ac:dyDescent="0.3">
      <c r="A280" s="1">
        <v>46045</v>
      </c>
      <c r="B280" t="s">
        <v>96</v>
      </c>
      <c r="C280" t="s">
        <v>97</v>
      </c>
      <c r="D280">
        <v>7461</v>
      </c>
    </row>
    <row r="281" spans="1:4" x14ac:dyDescent="0.3">
      <c r="A281" s="1">
        <v>46120</v>
      </c>
      <c r="B281" t="s">
        <v>96</v>
      </c>
      <c r="C281" t="s">
        <v>95</v>
      </c>
      <c r="D281">
        <v>43581</v>
      </c>
    </row>
    <row r="282" spans="1:4" x14ac:dyDescent="0.3">
      <c r="A282" s="1">
        <v>46079</v>
      </c>
      <c r="B282" t="s">
        <v>94</v>
      </c>
      <c r="C282" t="s">
        <v>98</v>
      </c>
      <c r="D282">
        <v>26285</v>
      </c>
    </row>
    <row r="283" spans="1:4" x14ac:dyDescent="0.3">
      <c r="A283" s="1">
        <v>46130</v>
      </c>
      <c r="B283" t="s">
        <v>96</v>
      </c>
      <c r="C283" t="s">
        <v>97</v>
      </c>
      <c r="D283">
        <v>47497</v>
      </c>
    </row>
    <row r="284" spans="1:4" x14ac:dyDescent="0.3">
      <c r="A284" s="1">
        <v>46057</v>
      </c>
      <c r="B284" t="s">
        <v>100</v>
      </c>
      <c r="C284" t="s">
        <v>95</v>
      </c>
      <c r="D284">
        <v>13527</v>
      </c>
    </row>
    <row r="285" spans="1:4" x14ac:dyDescent="0.3">
      <c r="A285" s="1">
        <v>46127</v>
      </c>
      <c r="B285" t="s">
        <v>99</v>
      </c>
      <c r="C285" t="s">
        <v>98</v>
      </c>
      <c r="D285">
        <v>52031</v>
      </c>
    </row>
    <row r="286" spans="1:4" x14ac:dyDescent="0.3">
      <c r="A286" s="1">
        <v>46096</v>
      </c>
      <c r="B286" t="s">
        <v>100</v>
      </c>
      <c r="C286" t="s">
        <v>101</v>
      </c>
      <c r="D286">
        <v>53675</v>
      </c>
    </row>
    <row r="287" spans="1:4" x14ac:dyDescent="0.3">
      <c r="A287" s="1">
        <v>46129</v>
      </c>
      <c r="B287" t="s">
        <v>96</v>
      </c>
      <c r="C287" t="s">
        <v>101</v>
      </c>
      <c r="D287">
        <v>7776</v>
      </c>
    </row>
    <row r="288" spans="1:4" x14ac:dyDescent="0.3">
      <c r="A288" s="1">
        <v>46134</v>
      </c>
      <c r="B288" t="s">
        <v>100</v>
      </c>
      <c r="C288" t="s">
        <v>101</v>
      </c>
      <c r="D288">
        <v>47863</v>
      </c>
    </row>
    <row r="289" spans="1:4" x14ac:dyDescent="0.3">
      <c r="A289" s="1">
        <v>46023</v>
      </c>
      <c r="B289" t="s">
        <v>94</v>
      </c>
      <c r="C289" t="s">
        <v>97</v>
      </c>
      <c r="D289">
        <v>32718</v>
      </c>
    </row>
    <row r="290" spans="1:4" x14ac:dyDescent="0.3">
      <c r="A290" s="1">
        <v>46037</v>
      </c>
      <c r="B290" t="s">
        <v>96</v>
      </c>
      <c r="C290" t="s">
        <v>101</v>
      </c>
      <c r="D290">
        <v>22124</v>
      </c>
    </row>
    <row r="291" spans="1:4" x14ac:dyDescent="0.3">
      <c r="A291" s="1">
        <v>46131</v>
      </c>
      <c r="B291" t="s">
        <v>100</v>
      </c>
      <c r="C291" t="s">
        <v>98</v>
      </c>
      <c r="D291">
        <v>28006</v>
      </c>
    </row>
    <row r="292" spans="1:4" x14ac:dyDescent="0.3">
      <c r="A292" s="1">
        <v>46026</v>
      </c>
      <c r="B292" t="s">
        <v>100</v>
      </c>
      <c r="C292" t="s">
        <v>97</v>
      </c>
      <c r="D292">
        <v>32669</v>
      </c>
    </row>
    <row r="293" spans="1:4" x14ac:dyDescent="0.3">
      <c r="A293" s="1">
        <v>46049</v>
      </c>
      <c r="B293" t="s">
        <v>100</v>
      </c>
      <c r="C293" t="s">
        <v>97</v>
      </c>
      <c r="D293">
        <v>11709</v>
      </c>
    </row>
    <row r="294" spans="1:4" x14ac:dyDescent="0.3">
      <c r="A294" s="1">
        <v>46049</v>
      </c>
      <c r="B294" t="s">
        <v>94</v>
      </c>
      <c r="C294" t="s">
        <v>95</v>
      </c>
      <c r="D294">
        <v>27426</v>
      </c>
    </row>
    <row r="295" spans="1:4" x14ac:dyDescent="0.3">
      <c r="A295" s="1">
        <v>46120</v>
      </c>
      <c r="B295" t="s">
        <v>99</v>
      </c>
      <c r="C295" t="s">
        <v>101</v>
      </c>
      <c r="D295">
        <v>42339</v>
      </c>
    </row>
    <row r="296" spans="1:4" x14ac:dyDescent="0.3">
      <c r="A296" s="1">
        <v>46139</v>
      </c>
      <c r="B296" t="s">
        <v>94</v>
      </c>
      <c r="C296" t="s">
        <v>98</v>
      </c>
      <c r="D296">
        <v>7743</v>
      </c>
    </row>
    <row r="297" spans="1:4" x14ac:dyDescent="0.3">
      <c r="A297" s="1">
        <v>46109</v>
      </c>
      <c r="B297" t="s">
        <v>94</v>
      </c>
      <c r="C297" t="s">
        <v>97</v>
      </c>
      <c r="D297">
        <v>13786</v>
      </c>
    </row>
    <row r="298" spans="1:4" x14ac:dyDescent="0.3">
      <c r="A298" s="1">
        <v>46042</v>
      </c>
      <c r="B298" t="s">
        <v>99</v>
      </c>
      <c r="C298" t="s">
        <v>98</v>
      </c>
      <c r="D298">
        <v>17846</v>
      </c>
    </row>
    <row r="299" spans="1:4" x14ac:dyDescent="0.3">
      <c r="A299" s="1">
        <v>46043</v>
      </c>
      <c r="B299" t="s">
        <v>94</v>
      </c>
      <c r="C299" t="s">
        <v>97</v>
      </c>
      <c r="D299">
        <v>43067</v>
      </c>
    </row>
    <row r="300" spans="1:4" x14ac:dyDescent="0.3">
      <c r="A300" s="1">
        <v>46071</v>
      </c>
      <c r="B300" t="s">
        <v>96</v>
      </c>
      <c r="C300" t="s">
        <v>95</v>
      </c>
      <c r="D300">
        <v>20203</v>
      </c>
    </row>
    <row r="301" spans="1:4" x14ac:dyDescent="0.3">
      <c r="A301" s="1">
        <v>46043</v>
      </c>
      <c r="B301" t="s">
        <v>94</v>
      </c>
      <c r="C301" t="s">
        <v>98</v>
      </c>
      <c r="D301">
        <v>59879</v>
      </c>
    </row>
    <row r="302" spans="1:4" x14ac:dyDescent="0.3">
      <c r="A302" s="1">
        <v>46092</v>
      </c>
      <c r="B302" t="s">
        <v>99</v>
      </c>
      <c r="C302" t="s">
        <v>101</v>
      </c>
      <c r="D302">
        <v>59852</v>
      </c>
    </row>
    <row r="303" spans="1:4" x14ac:dyDescent="0.3">
      <c r="A303" s="1">
        <v>46142</v>
      </c>
      <c r="B303" t="s">
        <v>99</v>
      </c>
      <c r="C303" t="s">
        <v>101</v>
      </c>
      <c r="D303">
        <v>50194</v>
      </c>
    </row>
    <row r="304" spans="1:4" x14ac:dyDescent="0.3">
      <c r="A304" s="1">
        <v>46117</v>
      </c>
      <c r="B304" t="s">
        <v>96</v>
      </c>
      <c r="C304" t="s">
        <v>101</v>
      </c>
      <c r="D304">
        <v>48936</v>
      </c>
    </row>
    <row r="305" spans="1:4" x14ac:dyDescent="0.3">
      <c r="A305" s="1">
        <v>46043</v>
      </c>
      <c r="B305" t="s">
        <v>94</v>
      </c>
      <c r="C305" t="s">
        <v>97</v>
      </c>
      <c r="D305">
        <v>21959</v>
      </c>
    </row>
    <row r="306" spans="1:4" x14ac:dyDescent="0.3">
      <c r="A306" s="1">
        <v>46029</v>
      </c>
      <c r="B306" t="s">
        <v>94</v>
      </c>
      <c r="C306" t="s">
        <v>101</v>
      </c>
      <c r="D306">
        <v>40646</v>
      </c>
    </row>
    <row r="307" spans="1:4" x14ac:dyDescent="0.3">
      <c r="A307" s="1">
        <v>46034</v>
      </c>
      <c r="B307" t="s">
        <v>96</v>
      </c>
      <c r="C307" t="s">
        <v>95</v>
      </c>
      <c r="D307">
        <v>52746</v>
      </c>
    </row>
    <row r="308" spans="1:4" x14ac:dyDescent="0.3">
      <c r="A308" s="1">
        <v>46061</v>
      </c>
      <c r="B308" t="s">
        <v>100</v>
      </c>
      <c r="C308" t="s">
        <v>101</v>
      </c>
      <c r="D308">
        <v>59565</v>
      </c>
    </row>
    <row r="309" spans="1:4" x14ac:dyDescent="0.3">
      <c r="A309" s="1">
        <v>46110</v>
      </c>
      <c r="B309" t="s">
        <v>96</v>
      </c>
      <c r="C309" t="s">
        <v>97</v>
      </c>
      <c r="D309">
        <v>15320</v>
      </c>
    </row>
    <row r="310" spans="1:4" x14ac:dyDescent="0.3">
      <c r="A310" s="1">
        <v>46065</v>
      </c>
      <c r="B310" t="s">
        <v>94</v>
      </c>
      <c r="C310" t="s">
        <v>97</v>
      </c>
      <c r="D310">
        <v>17425</v>
      </c>
    </row>
    <row r="311" spans="1:4" x14ac:dyDescent="0.3">
      <c r="A311" s="1">
        <v>46064</v>
      </c>
      <c r="B311" t="s">
        <v>99</v>
      </c>
      <c r="C311" t="s">
        <v>97</v>
      </c>
      <c r="D311">
        <v>57411</v>
      </c>
    </row>
    <row r="312" spans="1:4" x14ac:dyDescent="0.3">
      <c r="A312" s="1">
        <v>46031</v>
      </c>
      <c r="B312" t="s">
        <v>96</v>
      </c>
      <c r="C312" t="s">
        <v>95</v>
      </c>
      <c r="D312">
        <v>45613</v>
      </c>
    </row>
    <row r="313" spans="1:4" x14ac:dyDescent="0.3">
      <c r="A313" s="1">
        <v>46048</v>
      </c>
      <c r="B313" t="s">
        <v>96</v>
      </c>
      <c r="C313" t="s">
        <v>101</v>
      </c>
      <c r="D313">
        <v>18025</v>
      </c>
    </row>
    <row r="314" spans="1:4" x14ac:dyDescent="0.3">
      <c r="A314" s="1">
        <v>46124</v>
      </c>
      <c r="B314" t="s">
        <v>99</v>
      </c>
      <c r="C314" t="s">
        <v>95</v>
      </c>
      <c r="D314">
        <v>12945</v>
      </c>
    </row>
    <row r="315" spans="1:4" x14ac:dyDescent="0.3">
      <c r="A315" s="1">
        <v>46076</v>
      </c>
      <c r="B315" t="s">
        <v>99</v>
      </c>
      <c r="C315" t="s">
        <v>98</v>
      </c>
      <c r="D315">
        <v>4843</v>
      </c>
    </row>
    <row r="316" spans="1:4" x14ac:dyDescent="0.3">
      <c r="A316" s="1">
        <v>46049</v>
      </c>
      <c r="B316" t="s">
        <v>99</v>
      </c>
      <c r="C316" t="s">
        <v>101</v>
      </c>
      <c r="D316">
        <v>59677</v>
      </c>
    </row>
    <row r="317" spans="1:4" x14ac:dyDescent="0.3">
      <c r="A317" s="1">
        <v>46094</v>
      </c>
      <c r="B317" t="s">
        <v>100</v>
      </c>
      <c r="C317" t="s">
        <v>95</v>
      </c>
      <c r="D317">
        <v>34074</v>
      </c>
    </row>
    <row r="318" spans="1:4" x14ac:dyDescent="0.3">
      <c r="A318" s="1">
        <v>46106</v>
      </c>
      <c r="B318" t="s">
        <v>96</v>
      </c>
      <c r="C318" t="s">
        <v>97</v>
      </c>
      <c r="D318">
        <v>12440</v>
      </c>
    </row>
    <row r="319" spans="1:4" x14ac:dyDescent="0.3">
      <c r="A319" s="1">
        <v>46117</v>
      </c>
      <c r="B319" t="s">
        <v>94</v>
      </c>
      <c r="C319" t="s">
        <v>98</v>
      </c>
      <c r="D319">
        <v>27164</v>
      </c>
    </row>
    <row r="320" spans="1:4" x14ac:dyDescent="0.3">
      <c r="A320" s="1">
        <v>46124</v>
      </c>
      <c r="B320" t="s">
        <v>94</v>
      </c>
      <c r="C320" t="s">
        <v>97</v>
      </c>
      <c r="D320">
        <v>9412</v>
      </c>
    </row>
    <row r="321" spans="1:4" x14ac:dyDescent="0.3">
      <c r="A321" s="1">
        <v>46028</v>
      </c>
      <c r="B321" t="s">
        <v>94</v>
      </c>
      <c r="C321" t="s">
        <v>97</v>
      </c>
      <c r="D321">
        <v>14368</v>
      </c>
    </row>
    <row r="322" spans="1:4" x14ac:dyDescent="0.3">
      <c r="A322" s="1">
        <v>46026</v>
      </c>
      <c r="B322" t="s">
        <v>100</v>
      </c>
      <c r="C322" t="s">
        <v>95</v>
      </c>
      <c r="D322">
        <v>6377</v>
      </c>
    </row>
    <row r="323" spans="1:4" x14ac:dyDescent="0.3">
      <c r="A323" s="1">
        <v>46142</v>
      </c>
      <c r="B323" t="s">
        <v>94</v>
      </c>
      <c r="C323" t="s">
        <v>97</v>
      </c>
      <c r="D323">
        <v>25939</v>
      </c>
    </row>
    <row r="324" spans="1:4" x14ac:dyDescent="0.3">
      <c r="A324" s="1">
        <v>46065</v>
      </c>
      <c r="B324" t="s">
        <v>100</v>
      </c>
      <c r="C324" t="s">
        <v>101</v>
      </c>
      <c r="D324">
        <v>24578</v>
      </c>
    </row>
    <row r="325" spans="1:4" x14ac:dyDescent="0.3">
      <c r="A325" s="1">
        <v>46080</v>
      </c>
      <c r="B325" t="s">
        <v>94</v>
      </c>
      <c r="C325" t="s">
        <v>98</v>
      </c>
      <c r="D325">
        <v>5608</v>
      </c>
    </row>
    <row r="326" spans="1:4" x14ac:dyDescent="0.3">
      <c r="A326" s="1">
        <v>46088</v>
      </c>
      <c r="B326" t="s">
        <v>96</v>
      </c>
      <c r="C326" t="s">
        <v>98</v>
      </c>
      <c r="D326">
        <v>29565</v>
      </c>
    </row>
    <row r="327" spans="1:4" x14ac:dyDescent="0.3">
      <c r="A327" s="1">
        <v>46100</v>
      </c>
      <c r="B327" t="s">
        <v>99</v>
      </c>
      <c r="C327" t="s">
        <v>98</v>
      </c>
      <c r="D327">
        <v>33907</v>
      </c>
    </row>
    <row r="328" spans="1:4" x14ac:dyDescent="0.3">
      <c r="A328" s="1">
        <v>46045</v>
      </c>
      <c r="B328" t="s">
        <v>96</v>
      </c>
      <c r="C328" t="s">
        <v>98</v>
      </c>
      <c r="D328">
        <v>3073</v>
      </c>
    </row>
    <row r="329" spans="1:4" x14ac:dyDescent="0.3">
      <c r="A329" s="1">
        <v>46042</v>
      </c>
      <c r="B329" t="s">
        <v>100</v>
      </c>
      <c r="C329" t="s">
        <v>98</v>
      </c>
      <c r="D329">
        <v>32780</v>
      </c>
    </row>
    <row r="330" spans="1:4" x14ac:dyDescent="0.3">
      <c r="A330" s="1">
        <v>46037</v>
      </c>
      <c r="B330" t="s">
        <v>99</v>
      </c>
      <c r="C330" t="s">
        <v>95</v>
      </c>
      <c r="D330">
        <v>57419</v>
      </c>
    </row>
    <row r="331" spans="1:4" x14ac:dyDescent="0.3">
      <c r="A331" s="1">
        <v>46035</v>
      </c>
      <c r="B331" t="s">
        <v>96</v>
      </c>
      <c r="C331" t="s">
        <v>98</v>
      </c>
      <c r="D331">
        <v>51903</v>
      </c>
    </row>
    <row r="332" spans="1:4" x14ac:dyDescent="0.3">
      <c r="A332" s="1">
        <v>46079</v>
      </c>
      <c r="B332" t="s">
        <v>94</v>
      </c>
      <c r="C332" t="s">
        <v>97</v>
      </c>
      <c r="D332">
        <v>22490</v>
      </c>
    </row>
    <row r="333" spans="1:4" x14ac:dyDescent="0.3">
      <c r="A333" s="1">
        <v>46072</v>
      </c>
      <c r="B333" t="s">
        <v>96</v>
      </c>
      <c r="C333" t="s">
        <v>101</v>
      </c>
      <c r="D333">
        <v>17501</v>
      </c>
    </row>
    <row r="334" spans="1:4" x14ac:dyDescent="0.3">
      <c r="A334" s="1">
        <v>46040</v>
      </c>
      <c r="B334" t="s">
        <v>94</v>
      </c>
      <c r="C334" t="s">
        <v>95</v>
      </c>
      <c r="D334">
        <v>48790</v>
      </c>
    </row>
    <row r="335" spans="1:4" x14ac:dyDescent="0.3">
      <c r="A335" s="1">
        <v>46034</v>
      </c>
      <c r="B335" t="s">
        <v>99</v>
      </c>
      <c r="C335" t="s">
        <v>101</v>
      </c>
      <c r="D335">
        <v>3052</v>
      </c>
    </row>
    <row r="336" spans="1:4" x14ac:dyDescent="0.3">
      <c r="A336" s="1">
        <v>46101</v>
      </c>
      <c r="B336" t="s">
        <v>96</v>
      </c>
      <c r="C336" t="s">
        <v>101</v>
      </c>
      <c r="D336">
        <v>46525</v>
      </c>
    </row>
    <row r="337" spans="1:4" x14ac:dyDescent="0.3">
      <c r="A337" s="1">
        <v>46053</v>
      </c>
      <c r="B337" t="s">
        <v>96</v>
      </c>
      <c r="C337" t="s">
        <v>98</v>
      </c>
      <c r="D337">
        <v>10120</v>
      </c>
    </row>
    <row r="338" spans="1:4" x14ac:dyDescent="0.3">
      <c r="A338" s="1">
        <v>46050</v>
      </c>
      <c r="B338" t="s">
        <v>100</v>
      </c>
      <c r="C338" t="s">
        <v>97</v>
      </c>
      <c r="D338">
        <v>22384</v>
      </c>
    </row>
    <row r="339" spans="1:4" x14ac:dyDescent="0.3">
      <c r="A339" s="1">
        <v>46141</v>
      </c>
      <c r="B339" t="s">
        <v>96</v>
      </c>
      <c r="C339" t="s">
        <v>95</v>
      </c>
      <c r="D339">
        <v>11637</v>
      </c>
    </row>
    <row r="340" spans="1:4" x14ac:dyDescent="0.3">
      <c r="A340" s="1">
        <v>46115</v>
      </c>
      <c r="B340" t="s">
        <v>96</v>
      </c>
      <c r="C340" t="s">
        <v>101</v>
      </c>
      <c r="D340">
        <v>52173</v>
      </c>
    </row>
    <row r="341" spans="1:4" x14ac:dyDescent="0.3">
      <c r="A341" s="1">
        <v>46053</v>
      </c>
      <c r="B341" t="s">
        <v>99</v>
      </c>
      <c r="C341" t="s">
        <v>101</v>
      </c>
      <c r="D341">
        <v>15436</v>
      </c>
    </row>
    <row r="342" spans="1:4" x14ac:dyDescent="0.3">
      <c r="A342" s="1">
        <v>46065</v>
      </c>
      <c r="B342" t="s">
        <v>94</v>
      </c>
      <c r="C342" t="s">
        <v>97</v>
      </c>
      <c r="D342">
        <v>14249</v>
      </c>
    </row>
    <row r="343" spans="1:4" x14ac:dyDescent="0.3">
      <c r="A343" s="1">
        <v>46135</v>
      </c>
      <c r="B343" t="s">
        <v>94</v>
      </c>
      <c r="C343" t="s">
        <v>98</v>
      </c>
      <c r="D343">
        <v>23735</v>
      </c>
    </row>
    <row r="344" spans="1:4" x14ac:dyDescent="0.3">
      <c r="A344" s="1">
        <v>46082</v>
      </c>
      <c r="B344" t="s">
        <v>94</v>
      </c>
      <c r="C344" t="s">
        <v>101</v>
      </c>
      <c r="D344">
        <v>9467</v>
      </c>
    </row>
    <row r="345" spans="1:4" x14ac:dyDescent="0.3">
      <c r="A345" s="1">
        <v>46128</v>
      </c>
      <c r="B345" t="s">
        <v>99</v>
      </c>
      <c r="C345" t="s">
        <v>95</v>
      </c>
      <c r="D345">
        <v>9403</v>
      </c>
    </row>
    <row r="346" spans="1:4" x14ac:dyDescent="0.3">
      <c r="A346" s="1">
        <v>46115</v>
      </c>
      <c r="B346" t="s">
        <v>100</v>
      </c>
      <c r="C346" t="s">
        <v>95</v>
      </c>
      <c r="D346">
        <v>8768</v>
      </c>
    </row>
    <row r="347" spans="1:4" x14ac:dyDescent="0.3">
      <c r="A347" s="1">
        <v>46073</v>
      </c>
      <c r="B347" t="s">
        <v>96</v>
      </c>
      <c r="C347" t="s">
        <v>101</v>
      </c>
      <c r="D347">
        <v>8952</v>
      </c>
    </row>
    <row r="348" spans="1:4" x14ac:dyDescent="0.3">
      <c r="A348" s="1">
        <v>46059</v>
      </c>
      <c r="B348" t="s">
        <v>99</v>
      </c>
      <c r="C348" t="s">
        <v>97</v>
      </c>
      <c r="D348">
        <v>11098</v>
      </c>
    </row>
    <row r="349" spans="1:4" x14ac:dyDescent="0.3">
      <c r="A349" s="1">
        <v>46044</v>
      </c>
      <c r="B349" t="s">
        <v>96</v>
      </c>
      <c r="C349" t="s">
        <v>97</v>
      </c>
      <c r="D349">
        <v>47153</v>
      </c>
    </row>
    <row r="350" spans="1:4" x14ac:dyDescent="0.3">
      <c r="A350" s="1">
        <v>46050</v>
      </c>
      <c r="B350" t="s">
        <v>100</v>
      </c>
      <c r="C350" t="s">
        <v>101</v>
      </c>
      <c r="D350">
        <v>20489</v>
      </c>
    </row>
    <row r="351" spans="1:4" x14ac:dyDescent="0.3">
      <c r="A351" s="1">
        <v>46121</v>
      </c>
      <c r="B351" t="s">
        <v>94</v>
      </c>
      <c r="C351" t="s">
        <v>95</v>
      </c>
      <c r="D351">
        <v>7915</v>
      </c>
    </row>
    <row r="352" spans="1:4" x14ac:dyDescent="0.3">
      <c r="A352" s="1">
        <v>46033</v>
      </c>
      <c r="B352" t="s">
        <v>94</v>
      </c>
      <c r="C352" t="s">
        <v>98</v>
      </c>
      <c r="D352">
        <v>44864</v>
      </c>
    </row>
    <row r="353" spans="1:4" x14ac:dyDescent="0.3">
      <c r="A353" s="1">
        <v>46120</v>
      </c>
      <c r="B353" t="s">
        <v>99</v>
      </c>
      <c r="C353" t="s">
        <v>97</v>
      </c>
      <c r="D353">
        <v>54984</v>
      </c>
    </row>
    <row r="354" spans="1:4" x14ac:dyDescent="0.3">
      <c r="A354" s="1">
        <v>46142</v>
      </c>
      <c r="B354" t="s">
        <v>94</v>
      </c>
      <c r="C354" t="s">
        <v>98</v>
      </c>
      <c r="D354">
        <v>4887</v>
      </c>
    </row>
    <row r="355" spans="1:4" x14ac:dyDescent="0.3">
      <c r="A355" s="1">
        <v>46122</v>
      </c>
      <c r="B355" t="s">
        <v>94</v>
      </c>
      <c r="C355" t="s">
        <v>101</v>
      </c>
      <c r="D355">
        <v>5785</v>
      </c>
    </row>
    <row r="356" spans="1:4" x14ac:dyDescent="0.3">
      <c r="A356" s="1">
        <v>46029</v>
      </c>
      <c r="B356" t="s">
        <v>100</v>
      </c>
      <c r="C356" t="s">
        <v>97</v>
      </c>
      <c r="D356">
        <v>16888</v>
      </c>
    </row>
    <row r="357" spans="1:4" x14ac:dyDescent="0.3">
      <c r="A357" s="1">
        <v>46097</v>
      </c>
      <c r="B357" t="s">
        <v>99</v>
      </c>
      <c r="C357" t="s">
        <v>101</v>
      </c>
      <c r="D357">
        <v>57647</v>
      </c>
    </row>
    <row r="358" spans="1:4" x14ac:dyDescent="0.3">
      <c r="A358" s="1">
        <v>46130</v>
      </c>
      <c r="B358" t="s">
        <v>96</v>
      </c>
      <c r="C358" t="s">
        <v>101</v>
      </c>
      <c r="D358">
        <v>23751</v>
      </c>
    </row>
    <row r="359" spans="1:4" x14ac:dyDescent="0.3">
      <c r="A359" s="1">
        <v>46124</v>
      </c>
      <c r="B359" t="s">
        <v>96</v>
      </c>
      <c r="C359" t="s">
        <v>95</v>
      </c>
      <c r="D359">
        <v>55995</v>
      </c>
    </row>
    <row r="360" spans="1:4" x14ac:dyDescent="0.3">
      <c r="A360" s="1">
        <v>46142</v>
      </c>
      <c r="B360" t="s">
        <v>99</v>
      </c>
      <c r="C360" t="s">
        <v>97</v>
      </c>
      <c r="D360">
        <v>56369</v>
      </c>
    </row>
    <row r="361" spans="1:4" x14ac:dyDescent="0.3">
      <c r="A361" s="1">
        <v>46076</v>
      </c>
      <c r="B361" t="s">
        <v>100</v>
      </c>
      <c r="C361" t="s">
        <v>95</v>
      </c>
      <c r="D361">
        <v>50964</v>
      </c>
    </row>
    <row r="362" spans="1:4" x14ac:dyDescent="0.3">
      <c r="A362" s="1">
        <v>46143</v>
      </c>
      <c r="B362" t="s">
        <v>94</v>
      </c>
      <c r="C362" t="s">
        <v>101</v>
      </c>
      <c r="D362">
        <v>47811</v>
      </c>
    </row>
    <row r="363" spans="1:4" x14ac:dyDescent="0.3">
      <c r="A363" s="1">
        <v>46087</v>
      </c>
      <c r="B363" t="s">
        <v>94</v>
      </c>
      <c r="C363" t="s">
        <v>101</v>
      </c>
      <c r="D363">
        <v>20956</v>
      </c>
    </row>
    <row r="364" spans="1:4" x14ac:dyDescent="0.3">
      <c r="A364" s="1">
        <v>46080</v>
      </c>
      <c r="B364" t="s">
        <v>94</v>
      </c>
      <c r="C364" t="s">
        <v>98</v>
      </c>
      <c r="D364">
        <v>18255</v>
      </c>
    </row>
    <row r="365" spans="1:4" x14ac:dyDescent="0.3">
      <c r="A365" s="1">
        <v>46042</v>
      </c>
      <c r="B365" t="s">
        <v>96</v>
      </c>
      <c r="C365" t="s">
        <v>98</v>
      </c>
      <c r="D365">
        <v>2179</v>
      </c>
    </row>
    <row r="366" spans="1:4" x14ac:dyDescent="0.3">
      <c r="A366" s="1">
        <v>46042</v>
      </c>
      <c r="B366" t="s">
        <v>100</v>
      </c>
      <c r="C366" t="s">
        <v>101</v>
      </c>
      <c r="D366">
        <v>15250</v>
      </c>
    </row>
    <row r="367" spans="1:4" x14ac:dyDescent="0.3">
      <c r="A367" s="1">
        <v>46092</v>
      </c>
      <c r="B367" t="s">
        <v>94</v>
      </c>
      <c r="C367" t="s">
        <v>98</v>
      </c>
      <c r="D367">
        <v>40763</v>
      </c>
    </row>
    <row r="368" spans="1:4" x14ac:dyDescent="0.3">
      <c r="A368" s="1">
        <v>46030</v>
      </c>
      <c r="B368" t="s">
        <v>96</v>
      </c>
      <c r="C368" t="s">
        <v>101</v>
      </c>
      <c r="D368">
        <v>44869</v>
      </c>
    </row>
    <row r="369" spans="1:4" x14ac:dyDescent="0.3">
      <c r="A369" s="1">
        <v>46070</v>
      </c>
      <c r="B369" t="s">
        <v>100</v>
      </c>
      <c r="C369" t="s">
        <v>95</v>
      </c>
      <c r="D369">
        <v>45374</v>
      </c>
    </row>
    <row r="370" spans="1:4" x14ac:dyDescent="0.3">
      <c r="A370" s="1">
        <v>46057</v>
      </c>
      <c r="B370" t="s">
        <v>100</v>
      </c>
      <c r="C370" t="s">
        <v>95</v>
      </c>
      <c r="D370">
        <v>50003</v>
      </c>
    </row>
    <row r="371" spans="1:4" x14ac:dyDescent="0.3">
      <c r="A371" s="1">
        <v>46105</v>
      </c>
      <c r="B371" t="s">
        <v>96</v>
      </c>
      <c r="C371" t="s">
        <v>97</v>
      </c>
      <c r="D371">
        <v>14269</v>
      </c>
    </row>
    <row r="372" spans="1:4" x14ac:dyDescent="0.3">
      <c r="A372" s="1">
        <v>46106</v>
      </c>
      <c r="B372" t="s">
        <v>99</v>
      </c>
      <c r="C372" t="s">
        <v>95</v>
      </c>
      <c r="D372">
        <v>2770</v>
      </c>
    </row>
    <row r="373" spans="1:4" x14ac:dyDescent="0.3">
      <c r="A373" s="1">
        <v>46044</v>
      </c>
      <c r="B373" t="s">
        <v>94</v>
      </c>
      <c r="C373" t="s">
        <v>97</v>
      </c>
      <c r="D373">
        <v>28466</v>
      </c>
    </row>
    <row r="374" spans="1:4" x14ac:dyDescent="0.3">
      <c r="A374" s="1">
        <v>46041</v>
      </c>
      <c r="B374" t="s">
        <v>100</v>
      </c>
      <c r="C374" t="s">
        <v>97</v>
      </c>
      <c r="D374">
        <v>54691</v>
      </c>
    </row>
    <row r="375" spans="1:4" x14ac:dyDescent="0.3">
      <c r="A375" s="1">
        <v>46119</v>
      </c>
      <c r="B375" t="s">
        <v>96</v>
      </c>
      <c r="C375" t="s">
        <v>95</v>
      </c>
      <c r="D375">
        <v>56117</v>
      </c>
    </row>
    <row r="376" spans="1:4" x14ac:dyDescent="0.3">
      <c r="A376" s="1">
        <v>46056</v>
      </c>
      <c r="B376" t="s">
        <v>99</v>
      </c>
      <c r="C376" t="s">
        <v>98</v>
      </c>
      <c r="D376">
        <v>2297</v>
      </c>
    </row>
    <row r="377" spans="1:4" x14ac:dyDescent="0.3">
      <c r="A377" s="1">
        <v>46072</v>
      </c>
      <c r="B377" t="s">
        <v>99</v>
      </c>
      <c r="C377" t="s">
        <v>97</v>
      </c>
      <c r="D377">
        <v>10933</v>
      </c>
    </row>
    <row r="378" spans="1:4" x14ac:dyDescent="0.3">
      <c r="A378" s="1">
        <v>46122</v>
      </c>
      <c r="B378" t="s">
        <v>94</v>
      </c>
      <c r="C378" t="s">
        <v>98</v>
      </c>
      <c r="D378">
        <v>58694</v>
      </c>
    </row>
    <row r="379" spans="1:4" x14ac:dyDescent="0.3">
      <c r="A379" s="1">
        <v>46124</v>
      </c>
      <c r="B379" t="s">
        <v>96</v>
      </c>
      <c r="C379" t="s">
        <v>101</v>
      </c>
      <c r="D379">
        <v>3677</v>
      </c>
    </row>
    <row r="380" spans="1:4" x14ac:dyDescent="0.3">
      <c r="A380" s="1">
        <v>46049</v>
      </c>
      <c r="B380" t="s">
        <v>99</v>
      </c>
      <c r="C380" t="s">
        <v>97</v>
      </c>
      <c r="D380">
        <v>40576</v>
      </c>
    </row>
    <row r="381" spans="1:4" x14ac:dyDescent="0.3">
      <c r="A381" s="1">
        <v>46076</v>
      </c>
      <c r="B381" t="s">
        <v>99</v>
      </c>
      <c r="C381" t="s">
        <v>95</v>
      </c>
      <c r="D381">
        <v>4861</v>
      </c>
    </row>
    <row r="382" spans="1:4" x14ac:dyDescent="0.3">
      <c r="A382" s="1">
        <v>46120</v>
      </c>
      <c r="B382" t="s">
        <v>100</v>
      </c>
      <c r="C382" t="s">
        <v>101</v>
      </c>
      <c r="D382">
        <v>18235</v>
      </c>
    </row>
    <row r="383" spans="1:4" x14ac:dyDescent="0.3">
      <c r="A383" s="1">
        <v>46066</v>
      </c>
      <c r="B383" t="s">
        <v>99</v>
      </c>
      <c r="C383" t="s">
        <v>97</v>
      </c>
      <c r="D383">
        <v>58434</v>
      </c>
    </row>
    <row r="384" spans="1:4" x14ac:dyDescent="0.3">
      <c r="A384" s="1">
        <v>46107</v>
      </c>
      <c r="B384" t="s">
        <v>100</v>
      </c>
      <c r="C384" t="s">
        <v>95</v>
      </c>
      <c r="D384">
        <v>28226</v>
      </c>
    </row>
    <row r="385" spans="1:4" x14ac:dyDescent="0.3">
      <c r="A385" s="1">
        <v>46044</v>
      </c>
      <c r="B385" t="s">
        <v>99</v>
      </c>
      <c r="C385" t="s">
        <v>98</v>
      </c>
      <c r="D385">
        <v>21736</v>
      </c>
    </row>
    <row r="386" spans="1:4" x14ac:dyDescent="0.3">
      <c r="A386" s="1">
        <v>46124</v>
      </c>
      <c r="B386" t="s">
        <v>100</v>
      </c>
      <c r="C386" t="s">
        <v>95</v>
      </c>
      <c r="D386">
        <v>39610</v>
      </c>
    </row>
    <row r="387" spans="1:4" x14ac:dyDescent="0.3">
      <c r="A387" s="1">
        <v>46081</v>
      </c>
      <c r="B387" t="s">
        <v>96</v>
      </c>
      <c r="C387" t="s">
        <v>95</v>
      </c>
      <c r="D387">
        <v>57362</v>
      </c>
    </row>
    <row r="388" spans="1:4" x14ac:dyDescent="0.3">
      <c r="A388" s="1">
        <v>46068</v>
      </c>
      <c r="B388" t="s">
        <v>94</v>
      </c>
      <c r="C388" t="s">
        <v>95</v>
      </c>
      <c r="D388">
        <v>27154</v>
      </c>
    </row>
    <row r="389" spans="1:4" x14ac:dyDescent="0.3">
      <c r="A389" s="1">
        <v>46042</v>
      </c>
      <c r="B389" t="s">
        <v>100</v>
      </c>
      <c r="C389" t="s">
        <v>101</v>
      </c>
      <c r="D389">
        <v>24851</v>
      </c>
    </row>
    <row r="390" spans="1:4" x14ac:dyDescent="0.3">
      <c r="A390" s="1">
        <v>46069</v>
      </c>
      <c r="B390" t="s">
        <v>96</v>
      </c>
      <c r="C390" t="s">
        <v>97</v>
      </c>
      <c r="D390">
        <v>45191</v>
      </c>
    </row>
    <row r="391" spans="1:4" x14ac:dyDescent="0.3">
      <c r="A391" s="1">
        <v>46088</v>
      </c>
      <c r="B391" t="s">
        <v>94</v>
      </c>
      <c r="C391" t="s">
        <v>101</v>
      </c>
      <c r="D391">
        <v>53161</v>
      </c>
    </row>
    <row r="392" spans="1:4" x14ac:dyDescent="0.3">
      <c r="A392" s="1">
        <v>46032</v>
      </c>
      <c r="B392" t="s">
        <v>94</v>
      </c>
      <c r="C392" t="s">
        <v>95</v>
      </c>
      <c r="D392">
        <v>22459</v>
      </c>
    </row>
    <row r="393" spans="1:4" x14ac:dyDescent="0.3">
      <c r="A393" s="1">
        <v>46047</v>
      </c>
      <c r="B393" t="s">
        <v>94</v>
      </c>
      <c r="C393" t="s">
        <v>95</v>
      </c>
      <c r="D393">
        <v>29810</v>
      </c>
    </row>
    <row r="394" spans="1:4" x14ac:dyDescent="0.3">
      <c r="A394" s="1">
        <v>46081</v>
      </c>
      <c r="B394" t="s">
        <v>99</v>
      </c>
      <c r="C394" t="s">
        <v>95</v>
      </c>
      <c r="D394">
        <v>34779</v>
      </c>
    </row>
    <row r="395" spans="1:4" x14ac:dyDescent="0.3">
      <c r="A395" s="1">
        <v>46044</v>
      </c>
      <c r="B395" t="s">
        <v>96</v>
      </c>
      <c r="C395" t="s">
        <v>101</v>
      </c>
      <c r="D395">
        <v>18900</v>
      </c>
    </row>
    <row r="396" spans="1:4" x14ac:dyDescent="0.3">
      <c r="A396" s="1">
        <v>46135</v>
      </c>
      <c r="B396" t="s">
        <v>96</v>
      </c>
      <c r="C396" t="s">
        <v>97</v>
      </c>
      <c r="D396">
        <v>2214</v>
      </c>
    </row>
    <row r="397" spans="1:4" x14ac:dyDescent="0.3">
      <c r="A397" s="1">
        <v>46065</v>
      </c>
      <c r="B397" t="s">
        <v>100</v>
      </c>
      <c r="C397" t="s">
        <v>101</v>
      </c>
      <c r="D397">
        <v>48412</v>
      </c>
    </row>
    <row r="398" spans="1:4" x14ac:dyDescent="0.3">
      <c r="A398" s="1">
        <v>46081</v>
      </c>
      <c r="B398" t="s">
        <v>96</v>
      </c>
      <c r="C398" t="s">
        <v>98</v>
      </c>
      <c r="D398">
        <v>44178</v>
      </c>
    </row>
    <row r="399" spans="1:4" x14ac:dyDescent="0.3">
      <c r="A399" s="1">
        <v>46059</v>
      </c>
      <c r="B399" t="s">
        <v>100</v>
      </c>
      <c r="C399" t="s">
        <v>97</v>
      </c>
      <c r="D399">
        <v>10435</v>
      </c>
    </row>
    <row r="400" spans="1:4" x14ac:dyDescent="0.3">
      <c r="A400" s="1">
        <v>46141</v>
      </c>
      <c r="B400" t="s">
        <v>96</v>
      </c>
      <c r="C400" t="s">
        <v>101</v>
      </c>
      <c r="D400">
        <v>59949</v>
      </c>
    </row>
    <row r="401" spans="1:4" x14ac:dyDescent="0.3">
      <c r="A401" s="1">
        <v>46076</v>
      </c>
      <c r="B401" t="s">
        <v>96</v>
      </c>
      <c r="C401" t="s">
        <v>98</v>
      </c>
      <c r="D401">
        <v>46251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1462-A7F9-442B-971B-794245307D77}">
  <sheetPr>
    <tabColor theme="5" tint="0.79998168889431442"/>
  </sheetPr>
  <dimension ref="A1:S244"/>
  <sheetViews>
    <sheetView zoomScale="70" zoomScaleNormal="70" workbookViewId="0">
      <pane ySplit="9" topLeftCell="A10" activePane="bottomLeft" state="frozen"/>
      <selection activeCell="A5" sqref="A5:D5"/>
      <selection pane="bottomLeft" activeCell="A10" sqref="A10:G10"/>
    </sheetView>
  </sheetViews>
  <sheetFormatPr defaultRowHeight="14.4" x14ac:dyDescent="0.3"/>
  <cols>
    <col min="1" max="1" width="14" customWidth="1"/>
    <col min="2" max="6" width="15" customWidth="1"/>
    <col min="7" max="7" width="6" customWidth="1"/>
    <col min="8" max="13" width="14" customWidth="1"/>
    <col min="14" max="14" width="16" customWidth="1"/>
    <col min="15" max="19" width="14" customWidth="1"/>
  </cols>
  <sheetData>
    <row r="1" spans="1:19" ht="46.8" customHeight="1" x14ac:dyDescent="0.3">
      <c r="A1" s="780" t="s">
        <v>939</v>
      </c>
      <c r="B1" s="708"/>
      <c r="C1" s="708"/>
      <c r="D1" s="708"/>
      <c r="E1" s="708"/>
      <c r="F1" s="708"/>
      <c r="G1" s="708"/>
      <c r="H1" s="708"/>
      <c r="I1" s="708"/>
      <c r="J1" s="708"/>
      <c r="K1" s="708"/>
      <c r="L1" s="708"/>
      <c r="M1" s="708"/>
      <c r="N1" s="708"/>
      <c r="O1" s="708"/>
      <c r="P1" s="708"/>
      <c r="Q1" s="708"/>
      <c r="R1" s="708"/>
      <c r="S1" s="708"/>
    </row>
    <row r="2" spans="1:19" ht="19.8" customHeight="1" x14ac:dyDescent="0.3">
      <c r="A2" s="781" t="s">
        <v>940</v>
      </c>
      <c r="B2" s="708"/>
      <c r="C2" s="708"/>
      <c r="D2" s="708"/>
      <c r="E2" s="708"/>
      <c r="F2" s="708"/>
      <c r="G2" s="708"/>
      <c r="H2" s="708"/>
      <c r="I2" s="708"/>
      <c r="J2" s="708"/>
      <c r="K2" s="708"/>
      <c r="L2" s="708"/>
      <c r="M2" s="708"/>
      <c r="N2" s="708"/>
      <c r="O2" s="708"/>
      <c r="P2" s="708"/>
      <c r="Q2" s="708"/>
      <c r="R2" s="708"/>
      <c r="S2" s="708"/>
    </row>
    <row r="3" spans="1:19" ht="15" thickBot="1" x14ac:dyDescent="0.35"/>
    <row r="4" spans="1:19" ht="15" thickBot="1" x14ac:dyDescent="0.35">
      <c r="A4" s="745" t="s">
        <v>941</v>
      </c>
      <c r="B4" s="708"/>
      <c r="C4" s="708"/>
      <c r="D4" s="764" t="s">
        <v>942</v>
      </c>
      <c r="E4" s="708"/>
      <c r="F4" s="708"/>
      <c r="G4" s="782" t="s">
        <v>943</v>
      </c>
      <c r="H4" s="708"/>
      <c r="I4" s="708"/>
      <c r="J4" s="783" t="s">
        <v>944</v>
      </c>
      <c r="K4" s="708"/>
      <c r="L4" s="708"/>
      <c r="M4" s="784" t="s">
        <v>945</v>
      </c>
      <c r="N4" s="708"/>
      <c r="O4" s="708"/>
      <c r="P4" s="785" t="s">
        <v>946</v>
      </c>
      <c r="Q4" s="708"/>
      <c r="R4" s="708"/>
      <c r="S4" s="708"/>
    </row>
    <row r="5" spans="1:19" x14ac:dyDescent="0.3">
      <c r="A5" s="708"/>
      <c r="B5" s="708"/>
      <c r="C5" s="708"/>
      <c r="D5" s="708"/>
      <c r="E5" s="708"/>
      <c r="F5" s="708"/>
      <c r="G5" s="708"/>
      <c r="H5" s="708"/>
      <c r="I5" s="708"/>
      <c r="J5" s="708"/>
      <c r="K5" s="708"/>
      <c r="L5" s="708"/>
      <c r="M5" s="708"/>
      <c r="N5" s="708"/>
      <c r="O5" s="708"/>
      <c r="P5" s="708"/>
      <c r="Q5" s="708"/>
      <c r="R5" s="708"/>
      <c r="S5" s="708"/>
    </row>
    <row r="6" spans="1:19" x14ac:dyDescent="0.3">
      <c r="A6" s="708"/>
      <c r="B6" s="708"/>
      <c r="C6" s="708"/>
      <c r="D6" s="708"/>
      <c r="E6" s="708"/>
      <c r="F6" s="708"/>
      <c r="G6" s="708"/>
      <c r="H6" s="708"/>
      <c r="I6" s="708"/>
      <c r="J6" s="708"/>
      <c r="K6" s="708"/>
      <c r="L6" s="708"/>
      <c r="M6" s="708"/>
      <c r="N6" s="708"/>
      <c r="O6" s="708"/>
      <c r="P6" s="708"/>
      <c r="Q6" s="708"/>
      <c r="R6" s="708"/>
      <c r="S6" s="708"/>
    </row>
    <row r="7" spans="1:19" x14ac:dyDescent="0.3">
      <c r="A7" s="708"/>
      <c r="B7" s="708"/>
      <c r="C7" s="708"/>
      <c r="D7" s="708"/>
      <c r="E7" s="708"/>
      <c r="F7" s="708"/>
      <c r="G7" s="708"/>
      <c r="H7" s="708"/>
      <c r="I7" s="708"/>
      <c r="J7" s="708"/>
      <c r="K7" s="708"/>
      <c r="L7" s="708"/>
      <c r="M7" s="708"/>
      <c r="N7" s="708"/>
      <c r="O7" s="708"/>
      <c r="P7" s="708"/>
      <c r="Q7" s="708"/>
      <c r="R7" s="708"/>
      <c r="S7" s="708"/>
    </row>
    <row r="8" spans="1:19" x14ac:dyDescent="0.3">
      <c r="A8" s="708"/>
      <c r="B8" s="708"/>
      <c r="C8" s="708"/>
      <c r="D8" s="708"/>
      <c r="E8" s="708"/>
      <c r="F8" s="708"/>
      <c r="G8" s="708"/>
      <c r="H8" s="708"/>
      <c r="I8" s="708"/>
      <c r="J8" s="708"/>
      <c r="K8" s="708"/>
      <c r="L8" s="708"/>
      <c r="M8" s="708"/>
      <c r="N8" s="708"/>
      <c r="O8" s="708"/>
      <c r="P8" s="708"/>
      <c r="Q8" s="708"/>
      <c r="R8" s="708"/>
      <c r="S8" s="708"/>
    </row>
    <row r="10" spans="1:19" x14ac:dyDescent="0.3">
      <c r="A10" s="758" t="s">
        <v>947</v>
      </c>
      <c r="B10" s="708"/>
      <c r="C10" s="708"/>
      <c r="D10" s="708"/>
      <c r="E10" s="708"/>
      <c r="F10" s="708"/>
      <c r="G10" s="708"/>
      <c r="I10" s="786" t="s">
        <v>948</v>
      </c>
      <c r="J10" s="708"/>
      <c r="K10" s="708"/>
      <c r="L10" s="708"/>
      <c r="M10" s="708"/>
      <c r="N10" s="708"/>
      <c r="O10" s="708"/>
    </row>
    <row r="11" spans="1:19" ht="26.4" x14ac:dyDescent="0.3">
      <c r="A11" s="407" t="s">
        <v>91</v>
      </c>
      <c r="B11" s="407" t="s">
        <v>949</v>
      </c>
      <c r="C11" s="407" t="s">
        <v>718</v>
      </c>
      <c r="D11" s="407" t="s">
        <v>950</v>
      </c>
      <c r="E11" s="407" t="s">
        <v>707</v>
      </c>
      <c r="F11" s="407" t="s">
        <v>670</v>
      </c>
      <c r="G11" s="407" t="s">
        <v>951</v>
      </c>
      <c r="I11" s="468" t="s">
        <v>92</v>
      </c>
      <c r="J11" s="468" t="s">
        <v>949</v>
      </c>
      <c r="K11" s="468" t="s">
        <v>718</v>
      </c>
      <c r="L11" s="468" t="s">
        <v>950</v>
      </c>
      <c r="M11" s="468" t="s">
        <v>707</v>
      </c>
      <c r="N11" s="468" t="s">
        <v>670</v>
      </c>
      <c r="O11" s="468" t="s">
        <v>951</v>
      </c>
    </row>
    <row r="12" spans="1:19" ht="26.4" x14ac:dyDescent="0.3">
      <c r="A12" s="482" t="s">
        <v>96</v>
      </c>
      <c r="B12" s="483" t="s">
        <v>952</v>
      </c>
      <c r="C12" s="484" t="s">
        <v>953</v>
      </c>
      <c r="D12" s="483" t="s">
        <v>954</v>
      </c>
      <c r="E12" s="484">
        <v>116</v>
      </c>
      <c r="F12" s="485" t="s">
        <v>732</v>
      </c>
      <c r="G12" s="434" t="s">
        <v>955</v>
      </c>
      <c r="I12" s="453" t="s">
        <v>97</v>
      </c>
      <c r="J12" s="486" t="s">
        <v>956</v>
      </c>
      <c r="K12" s="487" t="s">
        <v>957</v>
      </c>
      <c r="L12" s="486" t="s">
        <v>958</v>
      </c>
      <c r="M12" s="487">
        <v>107</v>
      </c>
      <c r="N12" s="488" t="s">
        <v>732</v>
      </c>
      <c r="O12" s="434" t="s">
        <v>959</v>
      </c>
    </row>
    <row r="13" spans="1:19" ht="26.4" x14ac:dyDescent="0.3">
      <c r="A13" s="489" t="s">
        <v>99</v>
      </c>
      <c r="B13" s="490" t="s">
        <v>960</v>
      </c>
      <c r="C13" s="491" t="s">
        <v>961</v>
      </c>
      <c r="D13" s="490" t="s">
        <v>962</v>
      </c>
      <c r="E13" s="491">
        <v>98</v>
      </c>
      <c r="F13" s="424" t="s">
        <v>733</v>
      </c>
      <c r="G13" s="434" t="s">
        <v>963</v>
      </c>
      <c r="I13" s="458" t="s">
        <v>101</v>
      </c>
      <c r="J13" s="492" t="s">
        <v>964</v>
      </c>
      <c r="K13" s="493" t="s">
        <v>815</v>
      </c>
      <c r="L13" s="492" t="s">
        <v>965</v>
      </c>
      <c r="M13" s="493">
        <v>96</v>
      </c>
      <c r="N13" s="494" t="s">
        <v>733</v>
      </c>
      <c r="O13" s="434" t="s">
        <v>966</v>
      </c>
    </row>
    <row r="14" spans="1:19" x14ac:dyDescent="0.3">
      <c r="A14" s="495" t="s">
        <v>94</v>
      </c>
      <c r="B14" s="496" t="s">
        <v>967</v>
      </c>
      <c r="C14" s="497" t="s">
        <v>968</v>
      </c>
      <c r="D14" s="496" t="s">
        <v>969</v>
      </c>
      <c r="E14" s="497">
        <v>105</v>
      </c>
      <c r="F14" s="498" t="s">
        <v>734</v>
      </c>
      <c r="G14" s="408" t="s">
        <v>970</v>
      </c>
      <c r="I14" s="461" t="s">
        <v>98</v>
      </c>
      <c r="J14" s="499" t="s">
        <v>971</v>
      </c>
      <c r="K14" s="500" t="s">
        <v>972</v>
      </c>
      <c r="L14" s="499" t="s">
        <v>973</v>
      </c>
      <c r="M14" s="500">
        <v>108</v>
      </c>
      <c r="N14" s="501" t="s">
        <v>734</v>
      </c>
      <c r="O14" s="408" t="s">
        <v>974</v>
      </c>
    </row>
    <row r="15" spans="1:19" ht="39.6" x14ac:dyDescent="0.3">
      <c r="A15" s="502" t="s">
        <v>100</v>
      </c>
      <c r="B15" s="503" t="s">
        <v>975</v>
      </c>
      <c r="C15" s="504" t="s">
        <v>976</v>
      </c>
      <c r="D15" s="503" t="s">
        <v>977</v>
      </c>
      <c r="E15" s="504">
        <v>81</v>
      </c>
      <c r="F15" s="505" t="s">
        <v>978</v>
      </c>
      <c r="G15" s="408" t="s">
        <v>979</v>
      </c>
      <c r="I15" s="506" t="s">
        <v>95</v>
      </c>
      <c r="J15" s="507" t="s">
        <v>980</v>
      </c>
      <c r="K15" s="508" t="s">
        <v>981</v>
      </c>
      <c r="L15" s="507" t="s">
        <v>982</v>
      </c>
      <c r="M15" s="508">
        <v>89</v>
      </c>
      <c r="N15" s="509" t="s">
        <v>978</v>
      </c>
      <c r="O15" s="408" t="s">
        <v>983</v>
      </c>
    </row>
    <row r="16" spans="1:19" x14ac:dyDescent="0.3">
      <c r="A16" s="440" t="s">
        <v>715</v>
      </c>
      <c r="B16" s="409" t="s">
        <v>984</v>
      </c>
      <c r="C16" s="409" t="s">
        <v>816</v>
      </c>
      <c r="D16" s="409" t="s">
        <v>985</v>
      </c>
      <c r="E16" s="409">
        <v>400</v>
      </c>
      <c r="F16" s="409"/>
      <c r="G16" s="409"/>
      <c r="I16" s="510" t="s">
        <v>715</v>
      </c>
      <c r="J16" s="511" t="s">
        <v>984</v>
      </c>
      <c r="K16" s="511" t="s">
        <v>816</v>
      </c>
      <c r="L16" s="511" t="s">
        <v>985</v>
      </c>
      <c r="M16" s="511">
        <v>400</v>
      </c>
      <c r="N16" s="511"/>
      <c r="O16" s="511"/>
    </row>
    <row r="17" spans="1:19" x14ac:dyDescent="0.3">
      <c r="A17" s="708"/>
      <c r="B17" s="708"/>
      <c r="C17" s="708"/>
      <c r="D17" s="708"/>
      <c r="E17" s="708"/>
      <c r="F17" s="708"/>
      <c r="G17" s="708"/>
    </row>
    <row r="18" spans="1:19" x14ac:dyDescent="0.3">
      <c r="A18" s="708"/>
      <c r="B18" s="708"/>
      <c r="C18" s="708"/>
      <c r="D18" s="708"/>
      <c r="E18" s="708"/>
      <c r="F18" s="708"/>
      <c r="G18" s="708"/>
    </row>
    <row r="20" spans="1:19" x14ac:dyDescent="0.3">
      <c r="A20" s="787" t="s">
        <v>986</v>
      </c>
      <c r="B20" s="708"/>
      <c r="C20" s="708"/>
      <c r="D20" s="708"/>
      <c r="E20" s="708"/>
      <c r="F20" s="708"/>
      <c r="G20" s="708"/>
      <c r="H20" s="708"/>
      <c r="I20" s="708"/>
      <c r="K20" s="788" t="s">
        <v>987</v>
      </c>
      <c r="L20" s="708"/>
      <c r="M20" s="708"/>
      <c r="N20" s="708"/>
      <c r="O20" s="708"/>
      <c r="P20" s="708"/>
      <c r="Q20" s="708"/>
      <c r="R20" s="708"/>
      <c r="S20" s="708"/>
    </row>
    <row r="21" spans="1:19" ht="26.4" x14ac:dyDescent="0.3">
      <c r="A21" s="411" t="s">
        <v>988</v>
      </c>
      <c r="B21" s="512" t="s">
        <v>97</v>
      </c>
      <c r="C21" s="513" t="s">
        <v>101</v>
      </c>
      <c r="D21" s="514" t="s">
        <v>98</v>
      </c>
      <c r="E21" s="515" t="s">
        <v>95</v>
      </c>
      <c r="F21" s="411" t="s">
        <v>989</v>
      </c>
      <c r="K21" s="411" t="s">
        <v>693</v>
      </c>
      <c r="L21" s="485" t="s">
        <v>96</v>
      </c>
      <c r="M21" s="498" t="s">
        <v>94</v>
      </c>
      <c r="N21" s="424" t="s">
        <v>99</v>
      </c>
      <c r="O21" s="505" t="s">
        <v>100</v>
      </c>
      <c r="P21" s="411" t="s">
        <v>990</v>
      </c>
    </row>
    <row r="22" spans="1:19" x14ac:dyDescent="0.3">
      <c r="A22" s="485" t="s">
        <v>96</v>
      </c>
      <c r="B22" s="486" t="s">
        <v>991</v>
      </c>
      <c r="C22" s="492" t="s">
        <v>992</v>
      </c>
      <c r="D22" s="516" t="s">
        <v>993</v>
      </c>
      <c r="E22" s="507" t="s">
        <v>994</v>
      </c>
      <c r="F22" s="517" t="s">
        <v>952</v>
      </c>
      <c r="K22" s="518" t="s">
        <v>995</v>
      </c>
      <c r="L22" s="483" t="s">
        <v>996</v>
      </c>
      <c r="M22" s="496" t="s">
        <v>997</v>
      </c>
      <c r="N22" s="490" t="s">
        <v>998</v>
      </c>
      <c r="O22" s="503" t="s">
        <v>999</v>
      </c>
      <c r="P22" s="519" t="s">
        <v>1000</v>
      </c>
    </row>
    <row r="23" spans="1:19" x14ac:dyDescent="0.3">
      <c r="A23" s="498" t="s">
        <v>94</v>
      </c>
      <c r="B23" s="520" t="s">
        <v>1001</v>
      </c>
      <c r="C23" s="492" t="s">
        <v>1002</v>
      </c>
      <c r="D23" s="499" t="s">
        <v>1003</v>
      </c>
      <c r="E23" s="507" t="s">
        <v>1004</v>
      </c>
      <c r="F23" s="521" t="s">
        <v>967</v>
      </c>
      <c r="K23" s="518" t="s">
        <v>1005</v>
      </c>
      <c r="L23" s="483" t="s">
        <v>1006</v>
      </c>
      <c r="M23" s="496" t="s">
        <v>1007</v>
      </c>
      <c r="N23" s="490" t="s">
        <v>1008</v>
      </c>
      <c r="O23" s="503" t="s">
        <v>1009</v>
      </c>
      <c r="P23" s="519" t="s">
        <v>1010</v>
      </c>
    </row>
    <row r="24" spans="1:19" x14ac:dyDescent="0.3">
      <c r="A24" s="424" t="s">
        <v>99</v>
      </c>
      <c r="B24" s="520" t="s">
        <v>1011</v>
      </c>
      <c r="C24" s="492" t="s">
        <v>1012</v>
      </c>
      <c r="D24" s="499" t="s">
        <v>1013</v>
      </c>
      <c r="E24" s="507" t="s">
        <v>1014</v>
      </c>
      <c r="F24" s="522" t="s">
        <v>960</v>
      </c>
      <c r="K24" s="518" t="s">
        <v>1015</v>
      </c>
      <c r="L24" s="483" t="s">
        <v>1016</v>
      </c>
      <c r="M24" s="496" t="s">
        <v>1017</v>
      </c>
      <c r="N24" s="490" t="s">
        <v>1018</v>
      </c>
      <c r="O24" s="503" t="s">
        <v>1019</v>
      </c>
      <c r="P24" s="519" t="s">
        <v>1020</v>
      </c>
    </row>
    <row r="25" spans="1:19" x14ac:dyDescent="0.3">
      <c r="A25" s="505" t="s">
        <v>100</v>
      </c>
      <c r="B25" s="486" t="s">
        <v>1021</v>
      </c>
      <c r="C25" s="523" t="s">
        <v>1022</v>
      </c>
      <c r="D25" s="499" t="s">
        <v>1023</v>
      </c>
      <c r="E25" s="507" t="s">
        <v>1024</v>
      </c>
      <c r="F25" s="524" t="s">
        <v>975</v>
      </c>
      <c r="K25" s="518" t="s">
        <v>1025</v>
      </c>
      <c r="L25" s="483" t="s">
        <v>1026</v>
      </c>
      <c r="M25" s="496" t="s">
        <v>1027</v>
      </c>
      <c r="N25" s="490" t="s">
        <v>1028</v>
      </c>
      <c r="O25" s="503" t="s">
        <v>1029</v>
      </c>
      <c r="P25" s="519" t="s">
        <v>1030</v>
      </c>
    </row>
    <row r="26" spans="1:19" x14ac:dyDescent="0.3">
      <c r="A26" s="409" t="s">
        <v>1031</v>
      </c>
      <c r="B26" s="525" t="s">
        <v>956</v>
      </c>
      <c r="C26" s="526" t="s">
        <v>964</v>
      </c>
      <c r="D26" s="527" t="s">
        <v>971</v>
      </c>
      <c r="E26" s="528" t="s">
        <v>980</v>
      </c>
      <c r="F26" s="529" t="s">
        <v>984</v>
      </c>
    </row>
    <row r="200" spans="1:2" x14ac:dyDescent="0.3">
      <c r="A200" t="s">
        <v>91</v>
      </c>
      <c r="B200" t="s">
        <v>1032</v>
      </c>
    </row>
    <row r="201" spans="1:2" x14ac:dyDescent="0.3">
      <c r="A201" t="s">
        <v>96</v>
      </c>
      <c r="B201">
        <v>3607460</v>
      </c>
    </row>
    <row r="202" spans="1:2" x14ac:dyDescent="0.3">
      <c r="A202" t="s">
        <v>94</v>
      </c>
      <c r="B202">
        <v>2748083</v>
      </c>
    </row>
    <row r="203" spans="1:2" x14ac:dyDescent="0.3">
      <c r="A203" t="s">
        <v>99</v>
      </c>
      <c r="B203">
        <v>3000144</v>
      </c>
    </row>
    <row r="204" spans="1:2" x14ac:dyDescent="0.3">
      <c r="A204" t="s">
        <v>100</v>
      </c>
      <c r="B204">
        <v>2464143</v>
      </c>
    </row>
    <row r="208" spans="1:2" x14ac:dyDescent="0.3">
      <c r="A208" t="s">
        <v>92</v>
      </c>
      <c r="B208" t="s">
        <v>1032</v>
      </c>
    </row>
    <row r="209" spans="1:5" x14ac:dyDescent="0.3">
      <c r="A209" t="s">
        <v>97</v>
      </c>
      <c r="B209">
        <v>3277987</v>
      </c>
    </row>
    <row r="210" spans="1:5" x14ac:dyDescent="0.3">
      <c r="A210" t="s">
        <v>101</v>
      </c>
      <c r="B210">
        <v>2954852</v>
      </c>
    </row>
    <row r="211" spans="1:5" x14ac:dyDescent="0.3">
      <c r="A211" t="s">
        <v>98</v>
      </c>
      <c r="B211">
        <v>2919573</v>
      </c>
    </row>
    <row r="212" spans="1:5" x14ac:dyDescent="0.3">
      <c r="A212" t="s">
        <v>95</v>
      </c>
      <c r="B212">
        <v>2667418</v>
      </c>
    </row>
    <row r="216" spans="1:5" x14ac:dyDescent="0.3">
      <c r="A216" t="s">
        <v>693</v>
      </c>
      <c r="B216" t="s">
        <v>96</v>
      </c>
      <c r="C216" t="s">
        <v>94</v>
      </c>
      <c r="D216" t="s">
        <v>99</v>
      </c>
      <c r="E216" t="s">
        <v>100</v>
      </c>
    </row>
    <row r="217" spans="1:5" x14ac:dyDescent="0.3">
      <c r="A217" t="s">
        <v>995</v>
      </c>
      <c r="B217">
        <v>996246</v>
      </c>
      <c r="C217">
        <v>750013</v>
      </c>
      <c r="D217">
        <v>669545</v>
      </c>
      <c r="E217">
        <v>529545</v>
      </c>
    </row>
    <row r="218" spans="1:5" x14ac:dyDescent="0.3">
      <c r="A218" t="s">
        <v>1005</v>
      </c>
      <c r="B218">
        <v>803275</v>
      </c>
      <c r="C218">
        <v>542794</v>
      </c>
      <c r="D218">
        <v>628946</v>
      </c>
      <c r="E218">
        <v>665389</v>
      </c>
    </row>
    <row r="219" spans="1:5" x14ac:dyDescent="0.3">
      <c r="A219" t="s">
        <v>1015</v>
      </c>
      <c r="B219">
        <v>696050</v>
      </c>
      <c r="C219">
        <v>561793</v>
      </c>
      <c r="D219">
        <v>862213</v>
      </c>
      <c r="E219">
        <v>611398</v>
      </c>
    </row>
    <row r="220" spans="1:5" x14ac:dyDescent="0.3">
      <c r="A220" t="s">
        <v>1025</v>
      </c>
      <c r="B220">
        <v>1111889</v>
      </c>
      <c r="C220">
        <v>804961</v>
      </c>
      <c r="D220">
        <v>777733</v>
      </c>
      <c r="E220">
        <v>657811</v>
      </c>
    </row>
    <row r="224" spans="1:5" x14ac:dyDescent="0.3">
      <c r="A224" t="s">
        <v>693</v>
      </c>
      <c r="B224" t="s">
        <v>97</v>
      </c>
      <c r="C224" t="s">
        <v>101</v>
      </c>
      <c r="D224" t="s">
        <v>98</v>
      </c>
      <c r="E224" t="s">
        <v>95</v>
      </c>
    </row>
    <row r="225" spans="1:5" x14ac:dyDescent="0.3">
      <c r="A225" t="s">
        <v>995</v>
      </c>
      <c r="B225">
        <v>911192</v>
      </c>
      <c r="C225">
        <v>572790</v>
      </c>
      <c r="D225">
        <v>902745</v>
      </c>
      <c r="E225">
        <v>558622</v>
      </c>
    </row>
    <row r="226" spans="1:5" x14ac:dyDescent="0.3">
      <c r="A226" t="s">
        <v>1005</v>
      </c>
      <c r="B226">
        <v>887816</v>
      </c>
      <c r="C226">
        <v>676323</v>
      </c>
      <c r="D226">
        <v>519241</v>
      </c>
      <c r="E226">
        <v>557024</v>
      </c>
    </row>
    <row r="227" spans="1:5" x14ac:dyDescent="0.3">
      <c r="A227" t="s">
        <v>1015</v>
      </c>
      <c r="B227">
        <v>717397</v>
      </c>
      <c r="C227">
        <v>782833</v>
      </c>
      <c r="D227">
        <v>635288</v>
      </c>
      <c r="E227">
        <v>595936</v>
      </c>
    </row>
    <row r="228" spans="1:5" x14ac:dyDescent="0.3">
      <c r="A228" t="s">
        <v>1025</v>
      </c>
      <c r="B228">
        <v>702514</v>
      </c>
      <c r="C228">
        <v>875095</v>
      </c>
      <c r="D228">
        <v>862299</v>
      </c>
      <c r="E228">
        <v>912486</v>
      </c>
    </row>
    <row r="232" spans="1:5" x14ac:dyDescent="0.3">
      <c r="A232" t="s">
        <v>91</v>
      </c>
      <c r="B232" t="s">
        <v>111</v>
      </c>
    </row>
    <row r="233" spans="1:5" x14ac:dyDescent="0.3">
      <c r="A233" t="s">
        <v>96</v>
      </c>
      <c r="B233">
        <v>3607460</v>
      </c>
    </row>
    <row r="234" spans="1:5" x14ac:dyDescent="0.3">
      <c r="A234" t="s">
        <v>94</v>
      </c>
      <c r="B234">
        <v>2748083</v>
      </c>
    </row>
    <row r="235" spans="1:5" x14ac:dyDescent="0.3">
      <c r="A235" t="s">
        <v>99</v>
      </c>
      <c r="B235">
        <v>3000144</v>
      </c>
    </row>
    <row r="236" spans="1:5" x14ac:dyDescent="0.3">
      <c r="A236" t="s">
        <v>100</v>
      </c>
      <c r="B236">
        <v>2464143</v>
      </c>
    </row>
    <row r="240" spans="1:5" x14ac:dyDescent="0.3">
      <c r="A240" t="s">
        <v>92</v>
      </c>
      <c r="B240" t="s">
        <v>111</v>
      </c>
    </row>
    <row r="241" spans="1:2" x14ac:dyDescent="0.3">
      <c r="A241" t="s">
        <v>97</v>
      </c>
      <c r="B241">
        <v>3277987</v>
      </c>
    </row>
    <row r="242" spans="1:2" x14ac:dyDescent="0.3">
      <c r="A242" t="s">
        <v>101</v>
      </c>
      <c r="B242">
        <v>2954852</v>
      </c>
    </row>
    <row r="243" spans="1:2" x14ac:dyDescent="0.3">
      <c r="A243" t="s">
        <v>98</v>
      </c>
      <c r="B243">
        <v>2919573</v>
      </c>
    </row>
    <row r="244" spans="1:2" x14ac:dyDescent="0.3">
      <c r="A244" t="s">
        <v>95</v>
      </c>
      <c r="B244">
        <v>2667418</v>
      </c>
    </row>
  </sheetData>
  <mergeCells count="14">
    <mergeCell ref="A10:G10"/>
    <mergeCell ref="I10:O10"/>
    <mergeCell ref="A17:G17"/>
    <mergeCell ref="A18:G18"/>
    <mergeCell ref="A20:I20"/>
    <mergeCell ref="K20:S20"/>
    <mergeCell ref="A1:S1"/>
    <mergeCell ref="A2:S2"/>
    <mergeCell ref="A4:C8"/>
    <mergeCell ref="D4:F8"/>
    <mergeCell ref="G4:I8"/>
    <mergeCell ref="J4:L8"/>
    <mergeCell ref="M4:O8"/>
    <mergeCell ref="P4:S8"/>
  </mergeCell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DE0C-8BB3-4F64-A972-080C8F93C83B}">
  <sheetPr>
    <tabColor theme="5" tint="0.79998168889431442"/>
  </sheetPr>
  <dimension ref="A1:G11"/>
  <sheetViews>
    <sheetView zoomScaleNormal="100" workbookViewId="0">
      <pane xSplit="1" ySplit="3" topLeftCell="B4" activePane="bottomRight" state="frozen"/>
      <selection activeCell="A5" sqref="A5:D5"/>
      <selection pane="topRight" activeCell="A5" sqref="A5:D5"/>
      <selection pane="bottomLeft" activeCell="A5" sqref="A5:D5"/>
      <selection pane="bottomRight" activeCell="B4" sqref="B4"/>
    </sheetView>
  </sheetViews>
  <sheetFormatPr defaultColWidth="8.6640625" defaultRowHeight="14.4" x14ac:dyDescent="0.3"/>
  <cols>
    <col min="1" max="1" width="16" style="151" customWidth="1"/>
    <col min="2" max="6" width="17" style="151" customWidth="1"/>
    <col min="7" max="16384" width="8.6640625" style="151"/>
  </cols>
  <sheetData>
    <row r="1" spans="1:7" ht="31.5" customHeight="1" x14ac:dyDescent="0.3">
      <c r="A1" s="789" t="s">
        <v>1033</v>
      </c>
      <c r="B1" s="789"/>
      <c r="C1" s="789"/>
      <c r="D1" s="789"/>
      <c r="E1" s="789"/>
      <c r="F1" s="789"/>
      <c r="G1" s="789"/>
    </row>
    <row r="2" spans="1:7" ht="15.75" customHeight="1" thickBot="1" x14ac:dyDescent="0.35"/>
    <row r="3" spans="1:7" ht="39.75" customHeight="1" thickBot="1" x14ac:dyDescent="0.35">
      <c r="A3" s="530" t="s">
        <v>91</v>
      </c>
      <c r="B3" s="530" t="s">
        <v>101</v>
      </c>
      <c r="C3" s="530" t="s">
        <v>98</v>
      </c>
      <c r="D3" s="530" t="s">
        <v>95</v>
      </c>
      <c r="E3" s="530" t="s">
        <v>97</v>
      </c>
      <c r="F3" s="530" t="s">
        <v>674</v>
      </c>
    </row>
    <row r="4" spans="1:7" ht="21.75" customHeight="1" x14ac:dyDescent="0.3">
      <c r="A4" s="531" t="s">
        <v>99</v>
      </c>
      <c r="B4" s="532">
        <v>604036</v>
      </c>
      <c r="C4" s="532">
        <v>876421</v>
      </c>
      <c r="D4" s="532">
        <v>584672</v>
      </c>
      <c r="E4" s="532">
        <v>935015</v>
      </c>
      <c r="F4" s="532">
        <v>3000144</v>
      </c>
    </row>
    <row r="5" spans="1:7" ht="21.75" customHeight="1" x14ac:dyDescent="0.3">
      <c r="A5" s="533" t="s">
        <v>94</v>
      </c>
      <c r="B5" s="534">
        <v>491115</v>
      </c>
      <c r="C5" s="534">
        <v>582698</v>
      </c>
      <c r="D5" s="534">
        <v>695522</v>
      </c>
      <c r="E5" s="534">
        <v>978748</v>
      </c>
      <c r="F5" s="534">
        <v>2748083</v>
      </c>
    </row>
    <row r="6" spans="1:7" ht="21.75" customHeight="1" x14ac:dyDescent="0.3">
      <c r="A6" s="531" t="s">
        <v>100</v>
      </c>
      <c r="B6" s="532">
        <v>920120</v>
      </c>
      <c r="C6" s="532">
        <v>439632</v>
      </c>
      <c r="D6" s="532">
        <v>534267</v>
      </c>
      <c r="E6" s="532">
        <v>570124</v>
      </c>
      <c r="F6" s="532">
        <v>2464143</v>
      </c>
    </row>
    <row r="7" spans="1:7" ht="21.75" customHeight="1" x14ac:dyDescent="0.3">
      <c r="A7" s="533" t="s">
        <v>96</v>
      </c>
      <c r="B7" s="534">
        <v>939581</v>
      </c>
      <c r="C7" s="534">
        <v>1020822</v>
      </c>
      <c r="D7" s="534">
        <v>852957</v>
      </c>
      <c r="E7" s="534">
        <v>794100</v>
      </c>
      <c r="F7" s="534">
        <v>3607460</v>
      </c>
    </row>
    <row r="8" spans="1:7" ht="21.75" customHeight="1" x14ac:dyDescent="0.3">
      <c r="A8" s="535" t="s">
        <v>674</v>
      </c>
      <c r="B8" s="536">
        <v>2954852</v>
      </c>
      <c r="C8" s="536">
        <v>2919573</v>
      </c>
      <c r="D8" s="536">
        <v>2667418</v>
      </c>
      <c r="E8" s="536">
        <v>3277987</v>
      </c>
      <c r="F8" s="536">
        <v>11819830</v>
      </c>
    </row>
    <row r="11" spans="1:7" x14ac:dyDescent="0.3">
      <c r="A11" s="790" t="s">
        <v>1034</v>
      </c>
      <c r="B11" s="790"/>
      <c r="C11" s="790"/>
      <c r="D11" s="790"/>
      <c r="E11" s="790"/>
      <c r="F11" s="790"/>
    </row>
  </sheetData>
  <mergeCells count="2">
    <mergeCell ref="A1:G1"/>
    <mergeCell ref="A11:F11"/>
  </mergeCells>
  <conditionalFormatting sqref="B4:B7">
    <cfRule type="colorScale" priority="1">
      <colorScale>
        <cfvo type="min"/>
        <cfvo type="percentile" val="50"/>
        <cfvo type="max"/>
        <color rgb="FFFFFFFF"/>
        <color rgb="FFBDD7EE"/>
        <color rgb="FF1F6DB5"/>
      </colorScale>
    </cfRule>
  </conditionalFormatting>
  <conditionalFormatting sqref="C4:C7">
    <cfRule type="colorScale" priority="2">
      <colorScale>
        <cfvo type="min"/>
        <cfvo type="percentile" val="50"/>
        <cfvo type="max"/>
        <color rgb="FFFFFFFF"/>
        <color rgb="FFBDD7EE"/>
        <color rgb="FF1F6DB5"/>
      </colorScale>
    </cfRule>
  </conditionalFormatting>
  <conditionalFormatting sqref="D4:D7">
    <cfRule type="colorScale" priority="3">
      <colorScale>
        <cfvo type="min"/>
        <cfvo type="percentile" val="50"/>
        <cfvo type="max"/>
        <color rgb="FFFFFFFF"/>
        <color rgb="FFBDD7EE"/>
        <color rgb="FF1F6DB5"/>
      </colorScale>
    </cfRule>
  </conditionalFormatting>
  <conditionalFormatting sqref="E4:E7">
    <cfRule type="colorScale" priority="4">
      <colorScale>
        <cfvo type="min"/>
        <cfvo type="percentile" val="50"/>
        <cfvo type="max"/>
        <color rgb="FFFFFFFF"/>
        <color rgb="FFBDD7EE"/>
        <color rgb="FF1F6DB5"/>
      </colorScale>
    </cfRule>
  </conditionalFormatting>
  <conditionalFormatting sqref="F4:F7">
    <cfRule type="dataBar" priority="5">
      <dataBar>
        <cfvo type="min"/>
        <cfvo type="max"/>
        <color rgb="FF2E75B6"/>
      </dataBar>
      <extLst>
        <ext xmlns:x14="http://schemas.microsoft.com/office/spreadsheetml/2009/9/main" uri="{B025F937-C7B1-47D3-B67F-A62EFF666E3E}">
          <x14:id>{8EF2C8DF-BE66-40C4-87C8-A273687F2E1F}</x14:id>
        </ext>
      </extLst>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8EF2C8DF-BE66-40C4-87C8-A273687F2E1F}">
            <x14:dataBar axisPosition="none">
              <x14:cfvo type="min"/>
              <x14:cfvo type="max"/>
              <x14:negativeFillColor rgb="FF2E75B6"/>
            </x14:dataBar>
          </x14:cfRule>
          <xm:sqref>F4:F7</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55E5B-F4ED-40D6-8B19-030F73D31E01}">
  <sheetPr>
    <tabColor theme="5" tint="0.79998168889431442"/>
  </sheetPr>
  <dimension ref="A1:N35"/>
  <sheetViews>
    <sheetView zoomScaleNormal="100" workbookViewId="0">
      <pane ySplit="4" topLeftCell="A5" activePane="bottomLeft" state="frozen"/>
      <selection sqref="A1:G1"/>
      <selection pane="bottomLeft" activeCell="A5" sqref="A5:D5"/>
    </sheetView>
  </sheetViews>
  <sheetFormatPr defaultColWidth="8.6640625" defaultRowHeight="14.4" x14ac:dyDescent="0.3"/>
  <cols>
    <col min="1" max="1" width="20" style="151" customWidth="1"/>
    <col min="2" max="2" width="16" style="151" customWidth="1"/>
    <col min="3" max="3" width="14" style="151" customWidth="1"/>
    <col min="4" max="4" width="12" style="151" customWidth="1"/>
    <col min="5" max="5" width="17" style="151" customWidth="1"/>
    <col min="6" max="7" width="16" style="151" customWidth="1"/>
    <col min="8" max="8" width="10" style="151" customWidth="1"/>
    <col min="9" max="9" width="8" style="151" customWidth="1"/>
    <col min="10" max="10" width="4" style="151" customWidth="1"/>
    <col min="11" max="11" width="12" style="151" customWidth="1"/>
    <col min="12" max="12" width="16" style="151" customWidth="1"/>
    <col min="13" max="13" width="14" style="151" customWidth="1"/>
    <col min="14" max="16384" width="8.6640625" style="151"/>
  </cols>
  <sheetData>
    <row r="1" spans="1:14" ht="36" customHeight="1" x14ac:dyDescent="0.3">
      <c r="A1" s="794" t="s">
        <v>1035</v>
      </c>
      <c r="B1" s="794"/>
      <c r="C1" s="794"/>
      <c r="D1" s="794"/>
      <c r="E1" s="794"/>
      <c r="F1" s="794"/>
      <c r="G1" s="794"/>
      <c r="H1" s="794"/>
      <c r="I1" s="794"/>
      <c r="J1" s="794"/>
      <c r="K1" s="794"/>
      <c r="L1" s="794"/>
      <c r="M1" s="794"/>
      <c r="N1" s="794"/>
    </row>
    <row r="2" spans="1:14" ht="7.5" customHeight="1" thickBot="1" x14ac:dyDescent="0.35"/>
    <row r="3" spans="1:14" ht="45.75" customHeight="1" thickBot="1" x14ac:dyDescent="0.35">
      <c r="A3" s="795" t="s">
        <v>1036</v>
      </c>
      <c r="B3" s="795"/>
      <c r="C3" s="795"/>
      <c r="D3" s="796" t="s">
        <v>1037</v>
      </c>
      <c r="E3" s="796"/>
      <c r="F3" s="796"/>
      <c r="G3" s="797" t="s">
        <v>1038</v>
      </c>
      <c r="H3" s="797"/>
      <c r="I3" s="797"/>
      <c r="J3" s="798" t="s">
        <v>1039</v>
      </c>
      <c r="K3" s="798"/>
      <c r="L3" s="798"/>
    </row>
    <row r="4" spans="1:14" ht="15.75" customHeight="1" x14ac:dyDescent="0.3"/>
    <row r="5" spans="1:14" ht="25.5" customHeight="1" thickBot="1" x14ac:dyDescent="0.35">
      <c r="A5" s="799" t="s">
        <v>1040</v>
      </c>
      <c r="B5" s="799"/>
      <c r="C5" s="799"/>
      <c r="D5" s="799"/>
      <c r="F5" s="791" t="s">
        <v>1041</v>
      </c>
      <c r="G5" s="791"/>
      <c r="H5" s="791"/>
      <c r="I5" s="791"/>
      <c r="K5" s="792" t="s">
        <v>1042</v>
      </c>
      <c r="L5" s="792"/>
      <c r="M5" s="792"/>
    </row>
    <row r="6" spans="1:14" ht="19.5" customHeight="1" thickBot="1" x14ac:dyDescent="0.35">
      <c r="A6" s="537" t="s">
        <v>92</v>
      </c>
      <c r="B6" s="537" t="s">
        <v>1032</v>
      </c>
      <c r="C6" s="537" t="s">
        <v>718</v>
      </c>
      <c r="D6" s="537" t="s">
        <v>670</v>
      </c>
      <c r="F6" s="538" t="s">
        <v>91</v>
      </c>
      <c r="G6" s="538" t="s">
        <v>1032</v>
      </c>
      <c r="H6" s="538" t="s">
        <v>718</v>
      </c>
      <c r="I6" s="538" t="s">
        <v>670</v>
      </c>
      <c r="K6" s="539" t="s">
        <v>693</v>
      </c>
      <c r="L6" s="539" t="s">
        <v>1043</v>
      </c>
      <c r="M6" s="539" t="s">
        <v>951</v>
      </c>
    </row>
    <row r="7" spans="1:14" ht="19.5" customHeight="1" x14ac:dyDescent="0.3">
      <c r="A7" s="540" t="s">
        <v>1044</v>
      </c>
      <c r="B7" s="541">
        <v>3277987</v>
      </c>
      <c r="C7" s="542">
        <v>0.27732945397691799</v>
      </c>
      <c r="D7" s="543">
        <v>1</v>
      </c>
      <c r="F7" s="540" t="s">
        <v>1045</v>
      </c>
      <c r="G7" s="541">
        <v>3607460</v>
      </c>
      <c r="H7" s="542">
        <v>0.30520405115809601</v>
      </c>
      <c r="I7" s="543">
        <v>1</v>
      </c>
      <c r="K7" s="544" t="s">
        <v>1046</v>
      </c>
      <c r="L7" s="545">
        <v>2945349</v>
      </c>
      <c r="M7" s="546">
        <v>27948.75</v>
      </c>
    </row>
    <row r="8" spans="1:14" ht="19.5" customHeight="1" x14ac:dyDescent="0.3">
      <c r="A8" s="547" t="s">
        <v>101</v>
      </c>
      <c r="B8" s="548">
        <v>2954852</v>
      </c>
      <c r="C8" s="549">
        <v>0.249991074321712</v>
      </c>
      <c r="D8" s="550">
        <v>2</v>
      </c>
      <c r="F8" s="547" t="s">
        <v>99</v>
      </c>
      <c r="G8" s="548">
        <v>3000144</v>
      </c>
      <c r="H8" s="549">
        <v>0.25382293992383997</v>
      </c>
      <c r="I8" s="550">
        <v>2</v>
      </c>
      <c r="K8" s="551" t="s">
        <v>1047</v>
      </c>
      <c r="L8" s="552">
        <v>2640404</v>
      </c>
      <c r="M8" s="553">
        <v>-276996.25</v>
      </c>
    </row>
    <row r="9" spans="1:14" ht="19.5" customHeight="1" x14ac:dyDescent="0.3">
      <c r="A9" s="554" t="s">
        <v>98</v>
      </c>
      <c r="B9" s="555">
        <v>2919573</v>
      </c>
      <c r="C9" s="556">
        <v>0.24700634442288899</v>
      </c>
      <c r="D9" s="557">
        <v>3</v>
      </c>
      <c r="F9" s="554" t="s">
        <v>94</v>
      </c>
      <c r="G9" s="555">
        <v>2748083</v>
      </c>
      <c r="H9" s="556">
        <v>0.23249767551648401</v>
      </c>
      <c r="I9" s="557">
        <v>3</v>
      </c>
      <c r="K9" s="551" t="s">
        <v>1048</v>
      </c>
      <c r="L9" s="552">
        <v>2731454</v>
      </c>
      <c r="M9" s="553">
        <v>-185946.25</v>
      </c>
    </row>
    <row r="10" spans="1:14" ht="19.5" customHeight="1" x14ac:dyDescent="0.3">
      <c r="A10" s="547" t="s">
        <v>95</v>
      </c>
      <c r="B10" s="548">
        <v>2667418</v>
      </c>
      <c r="C10" s="549">
        <v>0.22567312727847999</v>
      </c>
      <c r="D10" s="550">
        <v>4</v>
      </c>
      <c r="F10" s="547" t="s">
        <v>100</v>
      </c>
      <c r="G10" s="548">
        <v>2464143</v>
      </c>
      <c r="H10" s="549">
        <v>0.20847533340158</v>
      </c>
      <c r="I10" s="550">
        <v>4</v>
      </c>
      <c r="K10" s="544" t="s">
        <v>1049</v>
      </c>
      <c r="L10" s="545">
        <v>3352394</v>
      </c>
      <c r="M10" s="546">
        <v>434993.75</v>
      </c>
    </row>
    <row r="11" spans="1:14" ht="19.5" customHeight="1" x14ac:dyDescent="0.3">
      <c r="K11" s="551" t="s">
        <v>1050</v>
      </c>
      <c r="L11" s="552">
        <v>150229</v>
      </c>
      <c r="M11" s="553">
        <v>-2767171.25</v>
      </c>
    </row>
    <row r="13" spans="1:14" ht="15.75" customHeight="1" x14ac:dyDescent="0.3"/>
    <row r="14" spans="1:14" ht="25.5" customHeight="1" thickBot="1" x14ac:dyDescent="0.35">
      <c r="A14" s="791" t="s">
        <v>1051</v>
      </c>
      <c r="B14" s="791"/>
      <c r="C14" s="791"/>
      <c r="D14" s="791"/>
      <c r="E14" s="791"/>
      <c r="F14" s="791"/>
    </row>
    <row r="15" spans="1:14" ht="21.75" customHeight="1" thickBot="1" x14ac:dyDescent="0.35">
      <c r="A15" s="538" t="s">
        <v>91</v>
      </c>
      <c r="B15" s="538" t="s">
        <v>101</v>
      </c>
      <c r="C15" s="538" t="s">
        <v>98</v>
      </c>
      <c r="D15" s="538" t="s">
        <v>95</v>
      </c>
      <c r="E15" s="538" t="s">
        <v>97</v>
      </c>
      <c r="F15" s="538" t="s">
        <v>989</v>
      </c>
    </row>
    <row r="16" spans="1:14" ht="19.5" customHeight="1" x14ac:dyDescent="0.3">
      <c r="A16" s="558" t="s">
        <v>99</v>
      </c>
      <c r="B16" s="555">
        <v>604036</v>
      </c>
      <c r="C16" s="555">
        <v>876421</v>
      </c>
      <c r="D16" s="555">
        <v>584672</v>
      </c>
      <c r="E16" s="555">
        <v>935015</v>
      </c>
      <c r="F16" s="559">
        <v>3000144</v>
      </c>
    </row>
    <row r="17" spans="1:6" ht="19.5" customHeight="1" x14ac:dyDescent="0.3">
      <c r="A17" s="560" t="s">
        <v>94</v>
      </c>
      <c r="B17" s="548">
        <v>491115</v>
      </c>
      <c r="C17" s="548">
        <v>582698</v>
      </c>
      <c r="D17" s="548">
        <v>695522</v>
      </c>
      <c r="E17" s="548">
        <v>978748</v>
      </c>
      <c r="F17" s="559">
        <v>2748083</v>
      </c>
    </row>
    <row r="18" spans="1:6" ht="19.5" customHeight="1" x14ac:dyDescent="0.3">
      <c r="A18" s="558" t="s">
        <v>100</v>
      </c>
      <c r="B18" s="555">
        <v>920120</v>
      </c>
      <c r="C18" s="555">
        <v>439632</v>
      </c>
      <c r="D18" s="555">
        <v>534267</v>
      </c>
      <c r="E18" s="555">
        <v>570124</v>
      </c>
      <c r="F18" s="559">
        <v>2464143</v>
      </c>
    </row>
    <row r="19" spans="1:6" ht="19.5" customHeight="1" x14ac:dyDescent="0.3">
      <c r="A19" s="560" t="s">
        <v>96</v>
      </c>
      <c r="B19" s="548">
        <v>939581</v>
      </c>
      <c r="C19" s="548">
        <v>1020822</v>
      </c>
      <c r="D19" s="548">
        <v>852957</v>
      </c>
      <c r="E19" s="548">
        <v>794100</v>
      </c>
      <c r="F19" s="559">
        <v>3607460</v>
      </c>
    </row>
    <row r="20" spans="1:6" ht="21.75" customHeight="1" x14ac:dyDescent="0.3">
      <c r="A20" s="561" t="s">
        <v>1031</v>
      </c>
      <c r="B20" s="559">
        <v>2954852</v>
      </c>
      <c r="C20" s="559">
        <v>2919573</v>
      </c>
      <c r="D20" s="559">
        <v>2667418</v>
      </c>
      <c r="E20" s="559">
        <v>3277987</v>
      </c>
      <c r="F20" s="562">
        <v>11819830</v>
      </c>
    </row>
    <row r="21" spans="1:6" ht="15.75" customHeight="1" x14ac:dyDescent="0.3"/>
    <row r="22" spans="1:6" ht="25.5" customHeight="1" thickBot="1" x14ac:dyDescent="0.35">
      <c r="A22" s="792" t="s">
        <v>1052</v>
      </c>
      <c r="B22" s="792"/>
      <c r="C22" s="792"/>
      <c r="D22" s="792"/>
      <c r="E22" s="792"/>
    </row>
    <row r="23" spans="1:6" ht="19.5" customHeight="1" thickBot="1" x14ac:dyDescent="0.35">
      <c r="A23" s="539" t="s">
        <v>479</v>
      </c>
      <c r="B23" s="539" t="s">
        <v>90</v>
      </c>
      <c r="C23" s="539" t="s">
        <v>91</v>
      </c>
      <c r="D23" s="539" t="s">
        <v>92</v>
      </c>
      <c r="E23" s="539" t="s">
        <v>1053</v>
      </c>
    </row>
    <row r="24" spans="1:6" ht="19.5" customHeight="1" x14ac:dyDescent="0.3">
      <c r="A24" s="543">
        <v>1</v>
      </c>
      <c r="B24" s="543" t="s">
        <v>1054</v>
      </c>
      <c r="C24" s="543" t="s">
        <v>96</v>
      </c>
      <c r="D24" s="540" t="s">
        <v>101</v>
      </c>
      <c r="E24" s="541">
        <v>59949</v>
      </c>
    </row>
    <row r="25" spans="1:6" ht="19.5" customHeight="1" x14ac:dyDescent="0.3">
      <c r="A25" s="563">
        <v>2</v>
      </c>
      <c r="B25" s="563" t="s">
        <v>1055</v>
      </c>
      <c r="C25" s="563" t="s">
        <v>99</v>
      </c>
      <c r="D25" s="564" t="s">
        <v>97</v>
      </c>
      <c r="E25" s="565">
        <v>59897</v>
      </c>
    </row>
    <row r="26" spans="1:6" ht="19.5" customHeight="1" x14ac:dyDescent="0.3">
      <c r="A26" s="563">
        <v>3</v>
      </c>
      <c r="B26" s="563" t="s">
        <v>573</v>
      </c>
      <c r="C26" s="563" t="s">
        <v>94</v>
      </c>
      <c r="D26" s="564" t="s">
        <v>98</v>
      </c>
      <c r="E26" s="565">
        <v>59879</v>
      </c>
    </row>
    <row r="27" spans="1:6" ht="19.5" customHeight="1" x14ac:dyDescent="0.3">
      <c r="A27" s="550">
        <v>4</v>
      </c>
      <c r="B27" s="550" t="s">
        <v>1056</v>
      </c>
      <c r="C27" s="550" t="s">
        <v>99</v>
      </c>
      <c r="D27" s="547" t="s">
        <v>101</v>
      </c>
      <c r="E27" s="548">
        <v>59852</v>
      </c>
    </row>
    <row r="28" spans="1:6" ht="19.5" customHeight="1" x14ac:dyDescent="0.3">
      <c r="A28" s="557">
        <v>5</v>
      </c>
      <c r="B28" s="557" t="s">
        <v>599</v>
      </c>
      <c r="C28" s="557" t="s">
        <v>99</v>
      </c>
      <c r="D28" s="554" t="s">
        <v>101</v>
      </c>
      <c r="E28" s="555">
        <v>59677</v>
      </c>
    </row>
    <row r="29" spans="1:6" ht="19.5" customHeight="1" x14ac:dyDescent="0.3">
      <c r="A29" s="550">
        <v>6</v>
      </c>
      <c r="B29" s="550" t="s">
        <v>577</v>
      </c>
      <c r="C29" s="550" t="s">
        <v>100</v>
      </c>
      <c r="D29" s="547" t="s">
        <v>101</v>
      </c>
      <c r="E29" s="548">
        <v>59565</v>
      </c>
    </row>
    <row r="30" spans="1:6" ht="19.5" customHeight="1" x14ac:dyDescent="0.3">
      <c r="A30" s="557">
        <v>7</v>
      </c>
      <c r="B30" s="557" t="s">
        <v>1057</v>
      </c>
      <c r="C30" s="557" t="s">
        <v>94</v>
      </c>
      <c r="D30" s="554" t="s">
        <v>97</v>
      </c>
      <c r="E30" s="555">
        <v>59158</v>
      </c>
    </row>
    <row r="31" spans="1:6" ht="19.5" customHeight="1" x14ac:dyDescent="0.3">
      <c r="A31" s="550">
        <v>8</v>
      </c>
      <c r="B31" s="550" t="s">
        <v>593</v>
      </c>
      <c r="C31" s="550" t="s">
        <v>100</v>
      </c>
      <c r="D31" s="547" t="s">
        <v>98</v>
      </c>
      <c r="E31" s="548">
        <v>59065</v>
      </c>
    </row>
    <row r="32" spans="1:6" ht="19.5" customHeight="1" x14ac:dyDescent="0.3">
      <c r="A32" s="557">
        <v>9</v>
      </c>
      <c r="B32" s="557" t="s">
        <v>1058</v>
      </c>
      <c r="C32" s="557" t="s">
        <v>100</v>
      </c>
      <c r="D32" s="554" t="s">
        <v>97</v>
      </c>
      <c r="E32" s="555">
        <v>59009</v>
      </c>
    </row>
    <row r="33" spans="1:13" ht="19.5" customHeight="1" x14ac:dyDescent="0.3">
      <c r="A33" s="550">
        <v>10</v>
      </c>
      <c r="B33" s="550" t="s">
        <v>586</v>
      </c>
      <c r="C33" s="550" t="s">
        <v>96</v>
      </c>
      <c r="D33" s="547" t="s">
        <v>95</v>
      </c>
      <c r="E33" s="548">
        <v>58838</v>
      </c>
    </row>
    <row r="35" spans="1:13" x14ac:dyDescent="0.3">
      <c r="A35" s="793" t="s">
        <v>1059</v>
      </c>
      <c r="B35" s="793"/>
      <c r="C35" s="793"/>
      <c r="D35" s="793"/>
      <c r="E35" s="793"/>
      <c r="F35" s="793"/>
      <c r="G35" s="793"/>
      <c r="H35" s="793"/>
      <c r="I35" s="793"/>
      <c r="J35" s="793"/>
      <c r="K35" s="793"/>
      <c r="L35" s="793"/>
      <c r="M35" s="793"/>
    </row>
  </sheetData>
  <mergeCells count="11">
    <mergeCell ref="A14:F14"/>
    <mergeCell ref="A22:E22"/>
    <mergeCell ref="A35:M35"/>
    <mergeCell ref="A1:N1"/>
    <mergeCell ref="A3:C3"/>
    <mergeCell ref="D3:F3"/>
    <mergeCell ref="G3:I3"/>
    <mergeCell ref="J3:L3"/>
    <mergeCell ref="A5:D5"/>
    <mergeCell ref="F5:I5"/>
    <mergeCell ref="K5:M5"/>
  </mergeCells>
  <conditionalFormatting sqref="B7:B10">
    <cfRule type="colorScale" priority="1">
      <colorScale>
        <cfvo type="min"/>
        <cfvo type="percentile" val="50"/>
        <cfvo type="max"/>
        <color rgb="FFFFFFFF"/>
        <color rgb="FFBDD7EE"/>
        <color rgb="FF2E75B6"/>
      </colorScale>
    </cfRule>
  </conditionalFormatting>
  <conditionalFormatting sqref="B16:B19">
    <cfRule type="colorScale" priority="3">
      <colorScale>
        <cfvo type="min"/>
        <cfvo type="percentile" val="50"/>
        <cfvo type="max"/>
        <color rgb="FFFFFFFF"/>
        <color rgb="FFBDD7EE"/>
        <color rgb="FF1F6DB5"/>
      </colorScale>
    </cfRule>
  </conditionalFormatting>
  <conditionalFormatting sqref="C16:C19">
    <cfRule type="colorScale" priority="4">
      <colorScale>
        <cfvo type="min"/>
        <cfvo type="percentile" val="50"/>
        <cfvo type="max"/>
        <color rgb="FFFFFFFF"/>
        <color rgb="FFBDD7EE"/>
        <color rgb="FF1F6DB5"/>
      </colorScale>
    </cfRule>
  </conditionalFormatting>
  <conditionalFormatting sqref="D16:D19">
    <cfRule type="colorScale" priority="5">
      <colorScale>
        <cfvo type="min"/>
        <cfvo type="percentile" val="50"/>
        <cfvo type="max"/>
        <color rgb="FFFFFFFF"/>
        <color rgb="FFBDD7EE"/>
        <color rgb="FF1F6DB5"/>
      </colorScale>
    </cfRule>
  </conditionalFormatting>
  <conditionalFormatting sqref="E16:E19">
    <cfRule type="colorScale" priority="6">
      <colorScale>
        <cfvo type="min"/>
        <cfvo type="percentile" val="50"/>
        <cfvo type="max"/>
        <color rgb="FFFFFFFF"/>
        <color rgb="FFBDD7EE"/>
        <color rgb="FF1F6DB5"/>
      </colorScale>
    </cfRule>
  </conditionalFormatting>
  <conditionalFormatting sqref="E24:E33">
    <cfRule type="dataBar" priority="7">
      <dataBar>
        <cfvo type="min"/>
        <cfvo type="max"/>
        <color rgb="FF2E75B6"/>
      </dataBar>
      <extLst>
        <ext xmlns:x14="http://schemas.microsoft.com/office/spreadsheetml/2009/9/main" uri="{B025F937-C7B1-47D3-B67F-A62EFF666E3E}">
          <x14:id>{B29D5108-7EDB-4168-B30F-3E487F37EA21}</x14:id>
        </ext>
      </extLst>
    </cfRule>
  </conditionalFormatting>
  <conditionalFormatting sqref="G7:G10">
    <cfRule type="colorScale" priority="2">
      <colorScale>
        <cfvo type="min"/>
        <cfvo type="percentile" val="50"/>
        <cfvo type="max"/>
        <color rgb="FFFFFFFF"/>
        <color rgb="FFBDD7EE"/>
        <color rgb="FF1F3864"/>
      </colorScale>
    </cfRule>
  </conditionalFormatting>
  <pageMargins left="0.75" right="0.75" top="1" bottom="1" header="0.511811023622047" footer="0.511811023622047"/>
  <pageSetup paperSize="9"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B29D5108-7EDB-4168-B30F-3E487F37EA21}">
            <x14:dataBar axisPosition="none">
              <x14:cfvo type="min"/>
              <x14:cfvo type="max"/>
              <x14:negativeFillColor rgb="FF2E75B6"/>
            </x14:dataBar>
          </x14:cfRule>
          <xm:sqref>E24:E33</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B0BB7-E72F-48BD-ADE4-5824C1651F93}">
  <dimension ref="A1:C35"/>
  <sheetViews>
    <sheetView zoomScale="120" zoomScaleNormal="120" workbookViewId="0"/>
  </sheetViews>
  <sheetFormatPr defaultRowHeight="14.4" x14ac:dyDescent="0.3"/>
  <cols>
    <col min="1" max="1" width="26.77734375" bestFit="1" customWidth="1"/>
    <col min="2" max="2" width="29.109375" bestFit="1" customWidth="1"/>
    <col min="3" max="3" width="103.109375" bestFit="1" customWidth="1"/>
  </cols>
  <sheetData>
    <row r="1" spans="1:3" x14ac:dyDescent="0.3">
      <c r="A1" s="2" t="s">
        <v>314</v>
      </c>
      <c r="B1" s="2" t="s">
        <v>315</v>
      </c>
      <c r="C1" s="2" t="s">
        <v>316</v>
      </c>
    </row>
    <row r="2" spans="1:3" x14ac:dyDescent="0.3">
      <c r="A2" s="3" t="s">
        <v>80</v>
      </c>
      <c r="B2" s="3" t="s">
        <v>317</v>
      </c>
      <c r="C2" s="3" t="s">
        <v>318</v>
      </c>
    </row>
    <row r="3" spans="1:3" x14ac:dyDescent="0.3">
      <c r="A3" s="3" t="s">
        <v>80</v>
      </c>
      <c r="B3" s="3" t="s">
        <v>319</v>
      </c>
      <c r="C3" s="3" t="s">
        <v>320</v>
      </c>
    </row>
    <row r="4" spans="1:3" x14ac:dyDescent="0.3">
      <c r="A4" s="3" t="s">
        <v>321</v>
      </c>
      <c r="B4" s="3" t="s">
        <v>322</v>
      </c>
      <c r="C4" s="3" t="s">
        <v>323</v>
      </c>
    </row>
    <row r="5" spans="1:3" x14ac:dyDescent="0.3">
      <c r="A5" s="3" t="s">
        <v>88</v>
      </c>
      <c r="B5" s="3" t="s">
        <v>324</v>
      </c>
      <c r="C5" s="3" t="s">
        <v>325</v>
      </c>
    </row>
    <row r="6" spans="1:3" x14ac:dyDescent="0.3">
      <c r="A6" s="3" t="s">
        <v>88</v>
      </c>
      <c r="B6" s="3" t="s">
        <v>326</v>
      </c>
      <c r="C6" s="3" t="s">
        <v>327</v>
      </c>
    </row>
    <row r="7" spans="1:3" x14ac:dyDescent="0.3">
      <c r="A7" s="3" t="s">
        <v>82</v>
      </c>
      <c r="B7" s="3" t="s">
        <v>328</v>
      </c>
      <c r="C7" s="3" t="s">
        <v>329</v>
      </c>
    </row>
    <row r="8" spans="1:3" x14ac:dyDescent="0.3">
      <c r="A8" s="3" t="s">
        <v>82</v>
      </c>
      <c r="B8" s="3" t="s">
        <v>330</v>
      </c>
      <c r="C8" s="3" t="s">
        <v>331</v>
      </c>
    </row>
    <row r="9" spans="1:3" x14ac:dyDescent="0.3">
      <c r="A9" s="3" t="s">
        <v>332</v>
      </c>
      <c r="B9" s="3" t="s">
        <v>333</v>
      </c>
      <c r="C9" s="3" t="s">
        <v>334</v>
      </c>
    </row>
    <row r="10" spans="1:3" x14ac:dyDescent="0.3">
      <c r="A10" s="3" t="s">
        <v>332</v>
      </c>
      <c r="B10" s="3" t="s">
        <v>335</v>
      </c>
      <c r="C10" s="3" t="s">
        <v>336</v>
      </c>
    </row>
    <row r="11" spans="1:3" x14ac:dyDescent="0.3">
      <c r="A11" s="3" t="s">
        <v>85</v>
      </c>
      <c r="B11" s="3" t="s">
        <v>337</v>
      </c>
      <c r="C11" s="3" t="s">
        <v>338</v>
      </c>
    </row>
    <row r="12" spans="1:3" x14ac:dyDescent="0.3">
      <c r="A12" s="3" t="s">
        <v>85</v>
      </c>
      <c r="B12" s="3" t="s">
        <v>339</v>
      </c>
      <c r="C12" s="3" t="s">
        <v>340</v>
      </c>
    </row>
    <row r="13" spans="1:3" x14ac:dyDescent="0.3">
      <c r="A13" s="3" t="s">
        <v>86</v>
      </c>
      <c r="B13" s="3" t="s">
        <v>341</v>
      </c>
      <c r="C13" s="3" t="s">
        <v>342</v>
      </c>
    </row>
    <row r="14" spans="1:3" x14ac:dyDescent="0.3">
      <c r="A14" s="3" t="s">
        <v>86</v>
      </c>
      <c r="B14" s="3" t="s">
        <v>343</v>
      </c>
      <c r="C14" s="3" t="s">
        <v>344</v>
      </c>
    </row>
    <row r="15" spans="1:3" x14ac:dyDescent="0.3">
      <c r="A15" s="3" t="s">
        <v>87</v>
      </c>
      <c r="B15" s="3" t="s">
        <v>345</v>
      </c>
      <c r="C15" s="3" t="s">
        <v>346</v>
      </c>
    </row>
    <row r="16" spans="1:3" x14ac:dyDescent="0.3">
      <c r="A16" s="3" t="s">
        <v>87</v>
      </c>
      <c r="B16" s="3" t="s">
        <v>347</v>
      </c>
      <c r="C16" s="3" t="s">
        <v>348</v>
      </c>
    </row>
    <row r="17" spans="1:3" x14ac:dyDescent="0.3">
      <c r="A17" s="3" t="s">
        <v>89</v>
      </c>
      <c r="B17" s="3" t="s">
        <v>349</v>
      </c>
      <c r="C17" s="3" t="s">
        <v>350</v>
      </c>
    </row>
    <row r="18" spans="1:3" x14ac:dyDescent="0.3">
      <c r="A18" s="3" t="s">
        <v>89</v>
      </c>
      <c r="B18" s="3" t="s">
        <v>351</v>
      </c>
      <c r="C18" s="3" t="s">
        <v>352</v>
      </c>
    </row>
    <row r="19" spans="1:3" x14ac:dyDescent="0.3">
      <c r="A19" s="3" t="s">
        <v>81</v>
      </c>
      <c r="B19" s="3" t="s">
        <v>353</v>
      </c>
      <c r="C19" s="3" t="s">
        <v>354</v>
      </c>
    </row>
    <row r="20" spans="1:3" x14ac:dyDescent="0.3">
      <c r="A20" s="3" t="s">
        <v>81</v>
      </c>
      <c r="B20" s="3" t="s">
        <v>355</v>
      </c>
      <c r="C20" s="3" t="s">
        <v>356</v>
      </c>
    </row>
    <row r="21" spans="1:3" x14ac:dyDescent="0.3">
      <c r="A21" s="3" t="s">
        <v>81</v>
      </c>
      <c r="B21" s="3" t="s">
        <v>357</v>
      </c>
      <c r="C21" s="3" t="s">
        <v>358</v>
      </c>
    </row>
    <row r="29" spans="1:3" x14ac:dyDescent="0.3">
      <c r="A29" s="4" t="s">
        <v>314</v>
      </c>
      <c r="B29" s="4" t="s">
        <v>315</v>
      </c>
      <c r="C29" s="4" t="s">
        <v>316</v>
      </c>
    </row>
    <row r="30" spans="1:3" ht="28.8" x14ac:dyDescent="0.3">
      <c r="A30" s="5" t="s">
        <v>81</v>
      </c>
      <c r="B30" s="5" t="s">
        <v>359</v>
      </c>
      <c r="C30" s="5" t="s">
        <v>360</v>
      </c>
    </row>
    <row r="31" spans="1:3" ht="28.8" x14ac:dyDescent="0.3">
      <c r="A31" s="5" t="s">
        <v>81</v>
      </c>
      <c r="B31" s="5" t="s">
        <v>361</v>
      </c>
      <c r="C31" s="5" t="s">
        <v>362</v>
      </c>
    </row>
    <row r="32" spans="1:3" ht="28.8" x14ac:dyDescent="0.3">
      <c r="A32" s="5" t="s">
        <v>89</v>
      </c>
      <c r="B32" s="5" t="s">
        <v>363</v>
      </c>
      <c r="C32" s="5" t="s">
        <v>364</v>
      </c>
    </row>
    <row r="33" spans="1:3" x14ac:dyDescent="0.3">
      <c r="A33" s="5" t="s">
        <v>85</v>
      </c>
      <c r="B33" s="5" t="s">
        <v>365</v>
      </c>
      <c r="C33" s="5" t="s">
        <v>366</v>
      </c>
    </row>
    <row r="34" spans="1:3" ht="28.8" x14ac:dyDescent="0.3">
      <c r="A34" s="5" t="s">
        <v>81</v>
      </c>
      <c r="B34" s="5" t="s">
        <v>367</v>
      </c>
      <c r="C34" s="5" t="s">
        <v>368</v>
      </c>
    </row>
    <row r="35" spans="1:3" ht="28.8" x14ac:dyDescent="0.3">
      <c r="A35" s="5" t="s">
        <v>81</v>
      </c>
      <c r="B35" s="5" t="s">
        <v>369</v>
      </c>
      <c r="C35" s="5"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Introduction</vt:lpstr>
      <vt:lpstr>Index-Response-1</vt:lpstr>
      <vt:lpstr>Formula</vt:lpstr>
      <vt:lpstr>Formula_Response-1</vt:lpstr>
      <vt:lpstr>Email_Data</vt:lpstr>
      <vt:lpstr>Email_Data_Response-1</vt:lpstr>
      <vt:lpstr>Email_Data_Response-2</vt:lpstr>
      <vt:lpstr>Raw_Messy_Data</vt:lpstr>
      <vt:lpstr>Raw_Messy_Data_Response-1</vt:lpstr>
      <vt:lpstr>Payroll_Data</vt:lpstr>
      <vt:lpstr>Payroll_Data_Response-1</vt:lpstr>
      <vt:lpstr>Payroll_Data_Response-2</vt:lpstr>
      <vt:lpstr>Bank_Books</vt:lpstr>
      <vt:lpstr>Bank_Statement</vt:lpstr>
      <vt:lpstr>ReconciliationReport_Response-1</vt:lpstr>
      <vt:lpstr>ReconciliationReport_Response-2</vt:lpstr>
      <vt:lpstr>Expenses</vt:lpstr>
      <vt:lpstr>Expense_Summary_Response-1</vt:lpstr>
      <vt:lpstr>Expense_Summary_Response-2</vt:lpstr>
      <vt:lpstr>Inventory</vt:lpstr>
      <vt:lpstr>Inventory_Response-1</vt:lpstr>
      <vt:lpstr>Inventory_Summary_Response-2</vt:lpstr>
      <vt:lpstr>Client_Followup</vt:lpstr>
      <vt:lpstr>Followup_Tracker_Response-1</vt:lpstr>
      <vt:lpstr>Client_StatusSummay_Response-2</vt:lpstr>
      <vt:lpstr>Budget_vs_Actual</vt:lpstr>
      <vt:lpstr>Budget_Analysis_Response-1</vt:lpstr>
      <vt:lpstr>BudgetVarianceReport_Response-2</vt:lpstr>
      <vt:lpstr>Sales_Data</vt:lpstr>
      <vt:lpstr>Sales_Dashboard_Response-1</vt:lpstr>
      <vt:lpstr>Sales_Dashboard_Response-2</vt:lpstr>
      <vt:lpstr>Sales_Dashboard_Response-3</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contact@totsoltechnologies.onmicrosoft.com</dc:creator>
  <cp:lastModifiedBy>Arnab Chakraborty</cp:lastModifiedBy>
  <dcterms:created xsi:type="dcterms:W3CDTF">2026-03-16T07:53:14Z</dcterms:created>
  <dcterms:modified xsi:type="dcterms:W3CDTF">2026-03-29T05:48:30Z</dcterms:modified>
</cp:coreProperties>
</file>