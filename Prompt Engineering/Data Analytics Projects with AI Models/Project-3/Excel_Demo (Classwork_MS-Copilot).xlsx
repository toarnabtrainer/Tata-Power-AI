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Arnab Docs\Claude Tutorial\"/>
    </mc:Choice>
  </mc:AlternateContent>
  <xr:revisionPtr revIDLastSave="0" documentId="8_{6E6FF17E-7D4F-4263-9035-0021CD14AA86}" xr6:coauthVersionLast="47" xr6:coauthVersionMax="47" xr10:uidLastSave="{00000000-0000-0000-0000-000000000000}"/>
  <bookViews>
    <workbookView xWindow="-108" yWindow="-108" windowWidth="23256" windowHeight="12456" tabRatio="860" xr2:uid="{00000000-000D-0000-FFFF-FFFF00000000}"/>
  </bookViews>
  <sheets>
    <sheet name="Introduction" sheetId="19" r:id="rId1"/>
    <sheet name="Index" sheetId="18" r:id="rId2"/>
    <sheet name="Formula" sheetId="13" r:id="rId3"/>
    <sheet name="Email_Data" sheetId="1" r:id="rId4"/>
    <sheet name="Raw_Messy_Data" sheetId="10" r:id="rId5"/>
    <sheet name="Payroll_Data" sheetId="4" r:id="rId6"/>
    <sheet name="Payroll_Summary" sheetId="23" r:id="rId7"/>
    <sheet name="Bank_Books" sheetId="5" r:id="rId8"/>
    <sheet name="Bank_Statement" sheetId="6" r:id="rId9"/>
    <sheet name="Bank_Reconciliation" sheetId="25" r:id="rId10"/>
    <sheet name="Missing_Entries_Report" sheetId="28" r:id="rId11"/>
    <sheet name="Expenses" sheetId="7" r:id="rId12"/>
    <sheet name="Expense_Summary" sheetId="29" r:id="rId13"/>
    <sheet name="Monthly_Expense_Report" sheetId="31" r:id="rId14"/>
    <sheet name="Inventory" sheetId="8" r:id="rId15"/>
    <sheet name="Inventory_Summary" sheetId="33" r:id="rId16"/>
    <sheet name="Client_Followup" sheetId="9" r:id="rId17"/>
    <sheet name="Client_Status_Summary" sheetId="35" r:id="rId18"/>
    <sheet name="Budget_vs_Actual" sheetId="11" r:id="rId19"/>
    <sheet name="Budget_Variance_Report" sheetId="37" r:id="rId20"/>
    <sheet name="Sales_Data" sheetId="3" r:id="rId21"/>
    <sheet name="Prompts" sheetId="12" state="hidden" r:id="rId22"/>
    <sheet name="Sales_Dashboard" sheetId="39" r:id="rId23"/>
    <sheet name="Sales_Pivot_Summary" sheetId="42" r:id="rId24"/>
    <sheet name="Top_Performance_Summary" sheetId="44" r:id="rId25"/>
  </sheets>
  <definedNames>
    <definedName name="_xlnm._FilterDatabase" localSheetId="4" hidden="1">Raw_Messy_Data!$A$1:$C$41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44" l="1"/>
  <c r="B35" i="44"/>
  <c r="B34" i="44"/>
  <c r="B33" i="44"/>
  <c r="B32" i="44"/>
  <c r="E28" i="44"/>
  <c r="E27" i="44"/>
  <c r="E26" i="44"/>
  <c r="D25" i="44"/>
  <c r="B28" i="44"/>
  <c r="B27" i="44"/>
  <c r="B26" i="44"/>
  <c r="A25" i="44"/>
  <c r="D20" i="44"/>
  <c r="C20" i="44"/>
  <c r="B20" i="44"/>
  <c r="D19" i="44"/>
  <c r="D18" i="44"/>
  <c r="D17" i="44"/>
  <c r="D16" i="44"/>
  <c r="C19" i="44"/>
  <c r="C18" i="44"/>
  <c r="C17" i="44"/>
  <c r="C16" i="44"/>
  <c r="B19" i="44"/>
  <c r="B18" i="44"/>
  <c r="B17" i="44"/>
  <c r="B16" i="44"/>
  <c r="D11" i="44"/>
  <c r="C11" i="44"/>
  <c r="B11" i="44"/>
  <c r="D10" i="44"/>
  <c r="D9" i="44"/>
  <c r="D8" i="44"/>
  <c r="D7" i="44"/>
  <c r="C10" i="44"/>
  <c r="C9" i="44"/>
  <c r="C8" i="44"/>
  <c r="C7" i="44"/>
  <c r="B10" i="44"/>
  <c r="B9" i="44"/>
  <c r="B8" i="44"/>
  <c r="B7" i="44"/>
  <c r="B41" i="42"/>
  <c r="B40" i="42"/>
  <c r="B39" i="42"/>
  <c r="B38" i="42"/>
  <c r="B37" i="42"/>
  <c r="B36" i="42"/>
  <c r="F31" i="42"/>
  <c r="E31" i="42"/>
  <c r="D31" i="42"/>
  <c r="C31" i="42"/>
  <c r="B31" i="42"/>
  <c r="F30" i="42"/>
  <c r="E30" i="42"/>
  <c r="D30" i="42"/>
  <c r="C30" i="42"/>
  <c r="B30" i="42"/>
  <c r="F29" i="42"/>
  <c r="E29" i="42"/>
  <c r="D29" i="42"/>
  <c r="C29" i="42"/>
  <c r="B29" i="42"/>
  <c r="F28" i="42"/>
  <c r="E28" i="42"/>
  <c r="D28" i="42"/>
  <c r="C28" i="42"/>
  <c r="B28" i="42"/>
  <c r="F27" i="42"/>
  <c r="E27" i="42"/>
  <c r="D27" i="42"/>
  <c r="C27" i="42"/>
  <c r="B27" i="42"/>
  <c r="F21" i="42"/>
  <c r="E21" i="42"/>
  <c r="D21" i="42"/>
  <c r="C21" i="42"/>
  <c r="B21" i="42"/>
  <c r="F20" i="42"/>
  <c r="E20" i="42"/>
  <c r="D20" i="42"/>
  <c r="C20" i="42"/>
  <c r="B20" i="42"/>
  <c r="F19" i="42"/>
  <c r="E19" i="42"/>
  <c r="D19" i="42"/>
  <c r="C19" i="42"/>
  <c r="B19" i="42"/>
  <c r="F18" i="42"/>
  <c r="E18" i="42"/>
  <c r="D18" i="42"/>
  <c r="C18" i="42"/>
  <c r="B18" i="42"/>
  <c r="F17" i="42"/>
  <c r="E17" i="42"/>
  <c r="D17" i="42"/>
  <c r="C17" i="42"/>
  <c r="B17" i="42"/>
  <c r="F11" i="42"/>
  <c r="E11" i="42"/>
  <c r="D11" i="42"/>
  <c r="C11" i="42"/>
  <c r="B11" i="42"/>
  <c r="F10" i="42"/>
  <c r="E10" i="42"/>
  <c r="D10" i="42"/>
  <c r="C10" i="42"/>
  <c r="B10" i="42"/>
  <c r="F9" i="42"/>
  <c r="E9" i="42"/>
  <c r="D9" i="42"/>
  <c r="C9" i="42"/>
  <c r="B9" i="42"/>
  <c r="F8" i="42"/>
  <c r="E8" i="42"/>
  <c r="D8" i="42"/>
  <c r="C8" i="42"/>
  <c r="B8" i="42"/>
  <c r="F7" i="42"/>
  <c r="E7" i="42"/>
  <c r="D7" i="42"/>
  <c r="C7" i="42"/>
  <c r="B7" i="42"/>
  <c r="F42" i="39"/>
  <c r="E42" i="39"/>
  <c r="D42" i="39"/>
  <c r="C42" i="39"/>
  <c r="B42" i="39"/>
  <c r="F41" i="39"/>
  <c r="E41" i="39"/>
  <c r="D41" i="39"/>
  <c r="C41" i="39"/>
  <c r="B41" i="39"/>
  <c r="F40" i="39"/>
  <c r="E40" i="39"/>
  <c r="D40" i="39"/>
  <c r="C40" i="39"/>
  <c r="B40" i="39"/>
  <c r="F39" i="39"/>
  <c r="E39" i="39"/>
  <c r="D39" i="39"/>
  <c r="C39" i="39"/>
  <c r="B39" i="39"/>
  <c r="F38" i="39"/>
  <c r="E38" i="39"/>
  <c r="D38" i="39"/>
  <c r="C38" i="39"/>
  <c r="B38" i="39"/>
  <c r="D33" i="39"/>
  <c r="C33" i="39"/>
  <c r="B33" i="39"/>
  <c r="D32" i="39"/>
  <c r="C32" i="39"/>
  <c r="B32" i="39"/>
  <c r="D31" i="39"/>
  <c r="C31" i="39"/>
  <c r="B31" i="39"/>
  <c r="D30" i="39"/>
  <c r="C30" i="39"/>
  <c r="B30" i="39"/>
  <c r="D29" i="39"/>
  <c r="C29" i="39"/>
  <c r="B29" i="39"/>
  <c r="E24" i="39"/>
  <c r="D24" i="39"/>
  <c r="C24" i="39"/>
  <c r="B24" i="39"/>
  <c r="E23" i="39"/>
  <c r="D23" i="39"/>
  <c r="C23" i="39"/>
  <c r="B23" i="39"/>
  <c r="E22" i="39" s="1"/>
  <c r="D22" i="39"/>
  <c r="C22" i="39"/>
  <c r="B22" i="39"/>
  <c r="D21" i="39"/>
  <c r="C21" i="39"/>
  <c r="B21" i="39"/>
  <c r="D20" i="39"/>
  <c r="C20" i="39"/>
  <c r="B20" i="39"/>
  <c r="E15" i="39"/>
  <c r="D15" i="39"/>
  <c r="C15" i="39"/>
  <c r="B15" i="39"/>
  <c r="E14" i="39"/>
  <c r="D14" i="39"/>
  <c r="C14" i="39"/>
  <c r="B14" i="39"/>
  <c r="E13" i="39" s="1"/>
  <c r="D13" i="39"/>
  <c r="C13" i="39"/>
  <c r="B13" i="39"/>
  <c r="D12" i="39"/>
  <c r="C12" i="39"/>
  <c r="B12" i="39"/>
  <c r="D11" i="39"/>
  <c r="C11" i="39"/>
  <c r="B11" i="39"/>
  <c r="C6" i="39"/>
  <c r="B6" i="39"/>
  <c r="A6" i="39"/>
  <c r="F7" i="11"/>
  <c r="E7" i="11"/>
  <c r="D7" i="11"/>
  <c r="F6" i="11"/>
  <c r="E6" i="11"/>
  <c r="D6" i="11"/>
  <c r="F5" i="11"/>
  <c r="E5" i="11"/>
  <c r="D5" i="11"/>
  <c r="F4" i="11"/>
  <c r="E4" i="11"/>
  <c r="D4" i="11"/>
  <c r="F3" i="11"/>
  <c r="E3" i="11"/>
  <c r="D3" i="11"/>
  <c r="F2" i="11"/>
  <c r="E2" i="11"/>
  <c r="D2" i="11"/>
  <c r="B19" i="37"/>
  <c r="B18" i="37"/>
  <c r="B17" i="37"/>
  <c r="B16" i="37" a="1"/>
  <c r="B16" i="37" s="1"/>
  <c r="B15" i="37" a="1"/>
  <c r="B15" i="37" s="1"/>
  <c r="E11" i="37"/>
  <c r="D11" i="37"/>
  <c r="C11" i="37"/>
  <c r="B11" i="37"/>
  <c r="E10" i="37"/>
  <c r="E9" i="37"/>
  <c r="E8" i="37"/>
  <c r="E7" i="37"/>
  <c r="E6" i="37"/>
  <c r="E5" i="37"/>
  <c r="D10" i="37"/>
  <c r="D9" i="37"/>
  <c r="D8" i="37"/>
  <c r="D7" i="37"/>
  <c r="D6" i="37"/>
  <c r="D5" i="37"/>
  <c r="C10" i="37"/>
  <c r="C9" i="37"/>
  <c r="C8" i="37"/>
  <c r="C7" i="37"/>
  <c r="C6" i="37"/>
  <c r="C5" i="37"/>
  <c r="B10" i="37"/>
  <c r="B9" i="37"/>
  <c r="B8" i="37"/>
  <c r="B7" i="37"/>
  <c r="B6" i="37"/>
  <c r="B5" i="37"/>
  <c r="B30" i="35"/>
  <c r="B29" i="35"/>
  <c r="B28" i="35"/>
  <c r="B27" i="35"/>
  <c r="B26" i="35"/>
  <c r="E22" i="35"/>
  <c r="D22" i="35"/>
  <c r="C22" i="35"/>
  <c r="B22" i="35"/>
  <c r="E21" i="35"/>
  <c r="D21" i="35"/>
  <c r="C21" i="35"/>
  <c r="B21" i="35"/>
  <c r="E20" i="35"/>
  <c r="D20" i="35"/>
  <c r="C20" i="35"/>
  <c r="B20" i="35"/>
  <c r="E19" i="35"/>
  <c r="D19" i="35"/>
  <c r="C19" i="35"/>
  <c r="B19" i="35"/>
  <c r="E18" i="35"/>
  <c r="D18" i="35"/>
  <c r="C18" i="35"/>
  <c r="B18" i="35"/>
  <c r="E17" i="35"/>
  <c r="D17" i="35"/>
  <c r="C17" i="35"/>
  <c r="B17" i="35"/>
  <c r="F12" i="35"/>
  <c r="E12" i="35"/>
  <c r="D12" i="35"/>
  <c r="C12" i="35"/>
  <c r="B12" i="35"/>
  <c r="F11" i="35"/>
  <c r="E11" i="35"/>
  <c r="D11" i="35"/>
  <c r="C11" i="35"/>
  <c r="B11" i="35"/>
  <c r="C10" i="35" s="1"/>
  <c r="F10" i="35"/>
  <c r="E10" i="35"/>
  <c r="D10" i="35"/>
  <c r="B10" i="35"/>
  <c r="F9" i="35"/>
  <c r="E9" i="35"/>
  <c r="D9" i="35"/>
  <c r="B9" i="35"/>
  <c r="F8" i="35"/>
  <c r="E8" i="35"/>
  <c r="D8" i="35"/>
  <c r="B8" i="35"/>
  <c r="F7" i="35"/>
  <c r="E7" i="35"/>
  <c r="D7" i="35"/>
  <c r="B7" i="35"/>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6" i="9"/>
  <c r="H5" i="9"/>
  <c r="H4" i="9"/>
  <c r="H3" i="9"/>
  <c r="H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G10" i="9"/>
  <c r="G9" i="9"/>
  <c r="G8" i="9"/>
  <c r="G7" i="9"/>
  <c r="G6" i="9"/>
  <c r="G5" i="9"/>
  <c r="G4" i="9"/>
  <c r="G3" i="9"/>
  <c r="G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F9" i="9"/>
  <c r="F8" i="9"/>
  <c r="F7" i="9"/>
  <c r="F6" i="9"/>
  <c r="F5" i="9"/>
  <c r="F4" i="9"/>
  <c r="F3" i="9"/>
  <c r="F2" i="9"/>
  <c r="A40" i="33"/>
  <c r="B40" i="33"/>
  <c r="C40" i="33"/>
  <c r="D40" i="33"/>
  <c r="E40" i="33"/>
  <c r="F40" i="33"/>
  <c r="A39" i="33"/>
  <c r="B39" i="33"/>
  <c r="C39" i="33"/>
  <c r="D39" i="33"/>
  <c r="E39" i="33"/>
  <c r="F39" i="33"/>
  <c r="A38" i="33"/>
  <c r="B38" i="33"/>
  <c r="C38" i="33"/>
  <c r="D38" i="33"/>
  <c r="E38" i="33"/>
  <c r="F38" i="33"/>
  <c r="A37" i="33"/>
  <c r="B37" i="33"/>
  <c r="C37" i="33"/>
  <c r="D37" i="33"/>
  <c r="E37" i="33"/>
  <c r="F37" i="33"/>
  <c r="A36" i="33"/>
  <c r="B36" i="33"/>
  <c r="C36" i="33"/>
  <c r="D36" i="33"/>
  <c r="E36" i="33"/>
  <c r="F36" i="33"/>
  <c r="A35" i="33"/>
  <c r="B35" i="33"/>
  <c r="C35" i="33"/>
  <c r="D35" i="33"/>
  <c r="E35" i="33"/>
  <c r="F35" i="33"/>
  <c r="A34" i="33"/>
  <c r="B34" i="33"/>
  <c r="C34" i="33"/>
  <c r="D34" i="33"/>
  <c r="E34" i="33"/>
  <c r="F34" i="33"/>
  <c r="A33" i="33"/>
  <c r="B33" i="33"/>
  <c r="C33" i="33"/>
  <c r="D33" i="33"/>
  <c r="E33" i="33"/>
  <c r="F33" i="33"/>
  <c r="A32" i="33"/>
  <c r="B32" i="33"/>
  <c r="C32" i="33"/>
  <c r="D32" i="33"/>
  <c r="E32" i="33"/>
  <c r="F32" i="33"/>
  <c r="A31" i="33"/>
  <c r="B31" i="33"/>
  <c r="C31" i="33"/>
  <c r="D31" i="33"/>
  <c r="E31" i="33"/>
  <c r="F31" i="33"/>
  <c r="A30" i="33"/>
  <c r="B30" i="33"/>
  <c r="C30" i="33"/>
  <c r="D30" i="33"/>
  <c r="E30" i="33"/>
  <c r="F30" i="33"/>
  <c r="B25" i="33"/>
  <c r="E25" i="33" s="1"/>
  <c r="C25" i="33"/>
  <c r="D25" i="33"/>
  <c r="B24" i="33"/>
  <c r="C24" i="33"/>
  <c r="D24" i="33"/>
  <c r="E24" i="33" s="1"/>
  <c r="B23" i="33"/>
  <c r="E23" i="33" s="1"/>
  <c r="C23" i="33"/>
  <c r="D23" i="33"/>
  <c r="B22" i="33"/>
  <c r="E22" i="33" s="1"/>
  <c r="C22" i="33"/>
  <c r="D22" i="33"/>
  <c r="B21" i="33"/>
  <c r="E21" i="33" s="1"/>
  <c r="C21" i="33"/>
  <c r="D21" i="33"/>
  <c r="B20" i="33"/>
  <c r="C20" i="33"/>
  <c r="D20" i="33"/>
  <c r="E20" i="33" s="1"/>
  <c r="B19" i="33"/>
  <c r="E19" i="33" s="1"/>
  <c r="C19" i="33"/>
  <c r="D19" i="33"/>
  <c r="B14" i="33"/>
  <c r="B13" i="33"/>
  <c r="B12" i="33"/>
  <c r="B11" i="33"/>
  <c r="B10" i="33"/>
  <c r="B9" i="33"/>
  <c r="B8" i="33"/>
  <c r="B7" i="33"/>
  <c r="F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37" i="31"/>
  <c r="E37" i="31"/>
  <c r="D37" i="31"/>
  <c r="C37" i="31"/>
  <c r="B37" i="31"/>
  <c r="F36" i="31"/>
  <c r="E36" i="31" a="1"/>
  <c r="E36" i="31" s="1"/>
  <c r="D36" i="31" a="1"/>
  <c r="D36" i="31" s="1"/>
  <c r="C36" i="31" a="1"/>
  <c r="C36" i="31" s="1"/>
  <c r="B36" i="31" a="1"/>
  <c r="B36" i="31" s="1"/>
  <c r="F35" i="31"/>
  <c r="E35" i="31" a="1"/>
  <c r="E35" i="31" s="1"/>
  <c r="D35" i="31" a="1"/>
  <c r="D35" i="31" s="1"/>
  <c r="C35" i="31" a="1"/>
  <c r="C35" i="31" s="1"/>
  <c r="B35" i="31" a="1"/>
  <c r="B35" i="31" s="1"/>
  <c r="F34" i="31"/>
  <c r="E34" i="31" a="1"/>
  <c r="E34" i="31" s="1"/>
  <c r="D34" i="31" a="1"/>
  <c r="D34" i="31" s="1"/>
  <c r="C34" i="31" a="1"/>
  <c r="C34" i="31" s="1"/>
  <c r="B34" i="31" a="1"/>
  <c r="B34" i="31" s="1"/>
  <c r="F33" i="31"/>
  <c r="E33" i="31" a="1"/>
  <c r="E33" i="31" s="1"/>
  <c r="D33" i="31" a="1"/>
  <c r="D33" i="31" s="1"/>
  <c r="C33" i="31" a="1"/>
  <c r="C33" i="31" s="1"/>
  <c r="B33" i="31" a="1"/>
  <c r="B33" i="31" s="1"/>
  <c r="F32" i="31"/>
  <c r="E32" i="31" a="1"/>
  <c r="E32" i="31" s="1"/>
  <c r="D32" i="31" a="1"/>
  <c r="D32" i="31" s="1"/>
  <c r="C32" i="31" a="1"/>
  <c r="C32" i="31" s="1"/>
  <c r="B32" i="31" a="1"/>
  <c r="B32" i="31" s="1"/>
  <c r="B27" i="31"/>
  <c r="B26" i="31"/>
  <c r="B25" i="31"/>
  <c r="B24" i="31"/>
  <c r="B23" i="31"/>
  <c r="D19" i="31"/>
  <c r="C19" i="31"/>
  <c r="B19" i="31"/>
  <c r="E18" i="31"/>
  <c r="D18" i="31"/>
  <c r="C18" i="31"/>
  <c r="B18" i="31"/>
  <c r="E17" i="31"/>
  <c r="D17" i="31"/>
  <c r="C17" i="31"/>
  <c r="B17" i="31"/>
  <c r="E16" i="31"/>
  <c r="D16" i="31"/>
  <c r="C16" i="31"/>
  <c r="B16" i="31"/>
  <c r="E15" i="31"/>
  <c r="D15" i="31"/>
  <c r="C15" i="31"/>
  <c r="B15" i="31"/>
  <c r="E14" i="31"/>
  <c r="D14" i="31"/>
  <c r="C14" i="31"/>
  <c r="B14" i="31"/>
  <c r="F9" i="31"/>
  <c r="E9" i="31"/>
  <c r="D9" i="31"/>
  <c r="C9" i="31"/>
  <c r="B9" i="31"/>
  <c r="F8" i="31"/>
  <c r="E8" i="31"/>
  <c r="D8" i="31"/>
  <c r="C8" i="31" a="1"/>
  <c r="C8" i="31" s="1"/>
  <c r="B8" i="31" a="1"/>
  <c r="B8" i="31" s="1"/>
  <c r="F7" i="31"/>
  <c r="E7" i="31"/>
  <c r="D7" i="31"/>
  <c r="C7" i="31" a="1"/>
  <c r="C7" i="31" s="1"/>
  <c r="B7" i="31" a="1"/>
  <c r="B7" i="31" s="1"/>
  <c r="B16" i="29"/>
  <c r="B15" i="29"/>
  <c r="B14" i="29"/>
  <c r="E10" i="29"/>
  <c r="D10" i="29"/>
  <c r="C10" i="29"/>
  <c r="B10" i="29"/>
  <c r="E9" i="29"/>
  <c r="D9" i="29"/>
  <c r="C9" i="29"/>
  <c r="B9" i="29"/>
  <c r="E8" i="29"/>
  <c r="D8" i="29"/>
  <c r="C8" i="29"/>
  <c r="B8" i="29"/>
  <c r="E7" i="29"/>
  <c r="D7" i="29"/>
  <c r="C7" i="29"/>
  <c r="B7" i="29"/>
  <c r="E6" i="29"/>
  <c r="D6" i="29"/>
  <c r="C6" i="29"/>
  <c r="B6" i="29"/>
  <c r="E5" i="29"/>
  <c r="D5" i="29"/>
  <c r="C5" i="29"/>
  <c r="B5" i="29"/>
  <c r="B50" i="28"/>
  <c r="B51" i="28"/>
  <c r="B52" i="28"/>
  <c r="B53" i="28"/>
  <c r="B54" i="28"/>
  <c r="B55" i="28"/>
  <c r="B56" i="28"/>
  <c r="B57" i="28"/>
  <c r="J6" i="28"/>
  <c r="K6" i="28"/>
  <c r="J7" i="28"/>
  <c r="K7" i="28"/>
  <c r="J8" i="28"/>
  <c r="K8" i="28"/>
  <c r="J9" i="28"/>
  <c r="K9" i="28"/>
  <c r="J10" i="28"/>
  <c r="K10" i="28"/>
  <c r="J11" i="28"/>
  <c r="K11" i="28"/>
  <c r="J12" i="28"/>
  <c r="K12" i="28"/>
  <c r="J13" i="28"/>
  <c r="K13" i="28"/>
  <c r="J14" i="28"/>
  <c r="K14" i="28"/>
  <c r="J15" i="28"/>
  <c r="K15" i="28"/>
  <c r="J16" i="28"/>
  <c r="K16" i="28"/>
  <c r="J17" i="28"/>
  <c r="K17" i="28"/>
  <c r="J18" i="28"/>
  <c r="K18" i="28"/>
  <c r="J19" i="28"/>
  <c r="K19" i="28"/>
  <c r="J20" i="28"/>
  <c r="K20" i="28"/>
  <c r="J21" i="28"/>
  <c r="K21" i="28"/>
  <c r="J22" i="28"/>
  <c r="K22" i="28"/>
  <c r="J23" i="28"/>
  <c r="K23" i="28"/>
  <c r="J24" i="28"/>
  <c r="K24" i="28"/>
  <c r="J25" i="28"/>
  <c r="K25" i="28"/>
  <c r="J26" i="28"/>
  <c r="K26" i="28"/>
  <c r="J27" i="28"/>
  <c r="K27" i="28"/>
  <c r="J28" i="28"/>
  <c r="K28" i="28"/>
  <c r="J29" i="28"/>
  <c r="K29" i="28"/>
  <c r="J30" i="28"/>
  <c r="K30" i="28"/>
  <c r="J31" i="28"/>
  <c r="K31" i="28"/>
  <c r="J32" i="28"/>
  <c r="K32" i="28"/>
  <c r="J33" i="28"/>
  <c r="K33" i="28"/>
  <c r="J34" i="28"/>
  <c r="K34" i="28"/>
  <c r="J35" i="28"/>
  <c r="K35" i="28"/>
  <c r="J36" i="28"/>
  <c r="K36" i="28"/>
  <c r="J37" i="28"/>
  <c r="K37" i="28"/>
  <c r="J38" i="28"/>
  <c r="K38" i="28"/>
  <c r="J39" i="28"/>
  <c r="K39" i="28"/>
  <c r="J40" i="28"/>
  <c r="K40" i="28"/>
  <c r="J41" i="28"/>
  <c r="K41" i="28"/>
  <c r="J42" i="28"/>
  <c r="K42" i="28"/>
  <c r="J43" i="28"/>
  <c r="K43" i="28"/>
  <c r="J44" i="28"/>
  <c r="K44" i="28"/>
  <c r="J45" i="28"/>
  <c r="K45" i="28"/>
  <c r="D6" i="28"/>
  <c r="E6" i="28"/>
  <c r="D7" i="28"/>
  <c r="E7" i="28"/>
  <c r="D8" i="28"/>
  <c r="E8" i="28"/>
  <c r="D9" i="28"/>
  <c r="E9" i="28"/>
  <c r="D10" i="28"/>
  <c r="E10" i="28"/>
  <c r="D11" i="28"/>
  <c r="E11" i="28"/>
  <c r="D12" i="28"/>
  <c r="E12" i="28"/>
  <c r="D13" i="28"/>
  <c r="E13" i="28"/>
  <c r="D14" i="28"/>
  <c r="E14" i="28"/>
  <c r="D15" i="28"/>
  <c r="E15" i="28"/>
  <c r="D16" i="28"/>
  <c r="E16" i="28"/>
  <c r="D17" i="28"/>
  <c r="E17" i="28"/>
  <c r="D18" i="28"/>
  <c r="E18" i="28"/>
  <c r="D19" i="28"/>
  <c r="E19" i="28"/>
  <c r="D20" i="28"/>
  <c r="E20" i="28"/>
  <c r="D21" i="28"/>
  <c r="E21" i="28"/>
  <c r="D22" i="28"/>
  <c r="E22" i="28"/>
  <c r="D23" i="28"/>
  <c r="E23" i="28"/>
  <c r="D24" i="28"/>
  <c r="E24" i="28"/>
  <c r="D25" i="28"/>
  <c r="E25" i="28"/>
  <c r="D26" i="28"/>
  <c r="E26" i="28"/>
  <c r="D27" i="28"/>
  <c r="E27" i="28"/>
  <c r="D28" i="28"/>
  <c r="E28" i="28"/>
  <c r="D29" i="28"/>
  <c r="E29" i="28"/>
  <c r="D30" i="28"/>
  <c r="E30" i="28"/>
  <c r="D31" i="28"/>
  <c r="E31" i="28"/>
  <c r="D32" i="28"/>
  <c r="E32" i="28"/>
  <c r="D33" i="28"/>
  <c r="E33" i="28"/>
  <c r="D34" i="28"/>
  <c r="E34" i="28"/>
  <c r="D35" i="28"/>
  <c r="E35" i="28"/>
  <c r="D36" i="28"/>
  <c r="E36" i="28"/>
  <c r="D37" i="28"/>
  <c r="E37" i="28"/>
  <c r="D38" i="28"/>
  <c r="E38" i="28"/>
  <c r="D39" i="28"/>
  <c r="E39" i="28"/>
  <c r="D40" i="28"/>
  <c r="E40" i="28"/>
  <c r="D41" i="28"/>
  <c r="E41" i="28"/>
  <c r="D42" i="28"/>
  <c r="E42" i="28"/>
  <c r="D43" i="28"/>
  <c r="E43" i="28"/>
  <c r="D44" i="28"/>
  <c r="E44" i="28"/>
  <c r="D45" i="28"/>
  <c r="E45" i="28"/>
  <c r="A72" i="25"/>
  <c r="B72" i="25"/>
  <c r="C72" i="25"/>
  <c r="D72" i="25" s="1"/>
  <c r="A73" i="25"/>
  <c r="B73" i="25"/>
  <c r="C73" i="25"/>
  <c r="D73" i="25" s="1"/>
  <c r="A74" i="25"/>
  <c r="B74" i="25"/>
  <c r="C74" i="25"/>
  <c r="D74" i="25" s="1"/>
  <c r="A75" i="25"/>
  <c r="B75" i="25"/>
  <c r="C75" i="25"/>
  <c r="D75" i="25" s="1"/>
  <c r="A76" i="25"/>
  <c r="B76" i="25"/>
  <c r="C76" i="25"/>
  <c r="D76" i="25" s="1"/>
  <c r="A77" i="25"/>
  <c r="B77" i="25"/>
  <c r="C77" i="25"/>
  <c r="D77" i="25" s="1"/>
  <c r="A78" i="25"/>
  <c r="B78" i="25"/>
  <c r="C78" i="25"/>
  <c r="D78" i="25" s="1"/>
  <c r="A79" i="25"/>
  <c r="B79" i="25"/>
  <c r="C79" i="25"/>
  <c r="D79" i="25" s="1"/>
  <c r="A80" i="25"/>
  <c r="B80" i="25"/>
  <c r="C80" i="25"/>
  <c r="D80" i="25" s="1"/>
  <c r="A81" i="25"/>
  <c r="B81" i="25"/>
  <c r="C81" i="25"/>
  <c r="D81" i="25" s="1"/>
  <c r="A82" i="25"/>
  <c r="B82" i="25"/>
  <c r="C82" i="25"/>
  <c r="D82" i="25" s="1"/>
  <c r="A83" i="25"/>
  <c r="B83" i="25"/>
  <c r="C83" i="25"/>
  <c r="D83" i="25" s="1"/>
  <c r="A84" i="25"/>
  <c r="B84" i="25"/>
  <c r="C84" i="25"/>
  <c r="D84" i="25" s="1"/>
  <c r="A85" i="25"/>
  <c r="B85" i="25"/>
  <c r="C85" i="25"/>
  <c r="D85" i="25" s="1"/>
  <c r="A86" i="25"/>
  <c r="B86" i="25"/>
  <c r="C86" i="25"/>
  <c r="D86" i="25" s="1"/>
  <c r="A87" i="25"/>
  <c r="B87" i="25"/>
  <c r="C87" i="25"/>
  <c r="D87" i="25" s="1"/>
  <c r="A88" i="25"/>
  <c r="B88" i="25"/>
  <c r="C88" i="25"/>
  <c r="D88" i="25" s="1"/>
  <c r="A89" i="25"/>
  <c r="B89" i="25"/>
  <c r="C89" i="25"/>
  <c r="D89" i="25" s="1"/>
  <c r="A90" i="25"/>
  <c r="B90" i="25"/>
  <c r="C90" i="25"/>
  <c r="D90" i="25" s="1"/>
  <c r="A91" i="25"/>
  <c r="B91" i="25"/>
  <c r="C91" i="25"/>
  <c r="D91" i="25" s="1"/>
  <c r="A92" i="25"/>
  <c r="B92" i="25"/>
  <c r="C92" i="25"/>
  <c r="D92" i="25" s="1"/>
  <c r="A93" i="25"/>
  <c r="B93" i="25"/>
  <c r="C93" i="25"/>
  <c r="D93" i="25" s="1"/>
  <c r="A94" i="25"/>
  <c r="B94" i="25"/>
  <c r="C94" i="25"/>
  <c r="D94" i="25" s="1"/>
  <c r="A95" i="25"/>
  <c r="B95" i="25"/>
  <c r="C95" i="25"/>
  <c r="D95" i="25" s="1"/>
  <c r="A96" i="25"/>
  <c r="B96" i="25"/>
  <c r="C96" i="25"/>
  <c r="D96" i="25" s="1"/>
  <c r="A97" i="25"/>
  <c r="B97" i="25"/>
  <c r="C97" i="25"/>
  <c r="D97" i="25" s="1"/>
  <c r="A98" i="25"/>
  <c r="B98" i="25"/>
  <c r="C98" i="25"/>
  <c r="D98" i="25" s="1"/>
  <c r="A99" i="25"/>
  <c r="B99" i="25"/>
  <c r="C99" i="25"/>
  <c r="D99" i="25" s="1"/>
  <c r="A100" i="25"/>
  <c r="B100" i="25"/>
  <c r="C100" i="25"/>
  <c r="D100" i="25" s="1"/>
  <c r="A101" i="25"/>
  <c r="B101" i="25"/>
  <c r="C101" i="25"/>
  <c r="D101" i="25" s="1"/>
  <c r="A102" i="25"/>
  <c r="B102" i="25"/>
  <c r="C102" i="25"/>
  <c r="D102" i="25" s="1"/>
  <c r="A103" i="25"/>
  <c r="B103" i="25"/>
  <c r="C103" i="25"/>
  <c r="D103" i="25" s="1"/>
  <c r="A104" i="25"/>
  <c r="B104" i="25"/>
  <c r="C104" i="25"/>
  <c r="D104" i="25" s="1"/>
  <c r="A105" i="25"/>
  <c r="B105" i="25"/>
  <c r="C105" i="25"/>
  <c r="D105" i="25" s="1"/>
  <c r="A106" i="25"/>
  <c r="B106" i="25"/>
  <c r="C106" i="25"/>
  <c r="D106" i="25" s="1"/>
  <c r="A107" i="25"/>
  <c r="B107" i="25"/>
  <c r="C107" i="25"/>
  <c r="D107" i="25" s="1"/>
  <c r="A108" i="25"/>
  <c r="B108" i="25"/>
  <c r="C108" i="25"/>
  <c r="D108" i="25" s="1"/>
  <c r="A109" i="25"/>
  <c r="B109" i="25"/>
  <c r="C109" i="25"/>
  <c r="D109" i="25" s="1"/>
  <c r="A110" i="25"/>
  <c r="B110" i="25"/>
  <c r="C110" i="25"/>
  <c r="D110" i="25" s="1"/>
  <c r="A111" i="25"/>
  <c r="B111" i="25"/>
  <c r="C111" i="25"/>
  <c r="D111" i="25" s="1"/>
  <c r="B59" i="25"/>
  <c r="L6" i="25"/>
  <c r="L7" i="25"/>
  <c r="L8" i="25"/>
  <c r="L9" i="25"/>
  <c r="L10" i="25"/>
  <c r="L11" i="25"/>
  <c r="L12" i="25"/>
  <c r="L13" i="25"/>
  <c r="L14" i="25"/>
  <c r="L15" i="25"/>
  <c r="L16" i="25"/>
  <c r="L17" i="25"/>
  <c r="L18" i="25"/>
  <c r="L19" i="25"/>
  <c r="L20" i="25"/>
  <c r="L21" i="25"/>
  <c r="L22" i="25"/>
  <c r="L23" i="25"/>
  <c r="L24" i="25"/>
  <c r="L25" i="25"/>
  <c r="L26" i="25"/>
  <c r="L27" i="25"/>
  <c r="L28" i="25"/>
  <c r="L29" i="25"/>
  <c r="L30" i="25"/>
  <c r="L31" i="25"/>
  <c r="L32" i="25"/>
  <c r="L33" i="25"/>
  <c r="L34" i="25"/>
  <c r="L35" i="25"/>
  <c r="L36" i="25"/>
  <c r="L37" i="25"/>
  <c r="L38" i="25"/>
  <c r="L39" i="25"/>
  <c r="L40" i="25"/>
  <c r="L41" i="25"/>
  <c r="L42" i="25"/>
  <c r="L43" i="25"/>
  <c r="L44" i="25"/>
  <c r="L45" i="25"/>
  <c r="F6" i="25"/>
  <c r="F7" i="25"/>
  <c r="F8" i="25"/>
  <c r="F9" i="25"/>
  <c r="F10" i="25"/>
  <c r="F11" i="25"/>
  <c r="F12" i="25"/>
  <c r="F13" i="25"/>
  <c r="F14" i="25"/>
  <c r="F15" i="25"/>
  <c r="F16" i="25"/>
  <c r="F17" i="25"/>
  <c r="F18" i="25"/>
  <c r="F19" i="25"/>
  <c r="F20" i="25"/>
  <c r="F21" i="25"/>
  <c r="F22" i="25"/>
  <c r="F23" i="25"/>
  <c r="F24" i="25"/>
  <c r="F25" i="25"/>
  <c r="F26" i="25"/>
  <c r="F27" i="25"/>
  <c r="F28" i="25"/>
  <c r="F29" i="25"/>
  <c r="F30" i="25"/>
  <c r="F31" i="25"/>
  <c r="F32" i="25"/>
  <c r="F33" i="25"/>
  <c r="F34" i="25"/>
  <c r="F35" i="25"/>
  <c r="F36" i="25"/>
  <c r="F37" i="25"/>
  <c r="F38" i="25"/>
  <c r="F39" i="25"/>
  <c r="F40" i="25"/>
  <c r="F41" i="25"/>
  <c r="F42" i="25"/>
  <c r="F43" i="25"/>
  <c r="F44" i="25"/>
  <c r="F45" i="25"/>
  <c r="B51" i="25"/>
  <c r="B52" i="25"/>
  <c r="B53" i="25"/>
  <c r="B54" i="25"/>
  <c r="B55" i="25"/>
  <c r="B56" i="25"/>
  <c r="B57" i="25"/>
  <c r="B58" i="25"/>
  <c r="K6" i="25"/>
  <c r="K7" i="25"/>
  <c r="K8" i="25"/>
  <c r="K9" i="25"/>
  <c r="K10" i="25"/>
  <c r="K11" i="25"/>
  <c r="K12" i="25"/>
  <c r="K13" i="25"/>
  <c r="K14" i="25"/>
  <c r="K15" i="25"/>
  <c r="K16" i="25"/>
  <c r="K17" i="25"/>
  <c r="K18" i="25"/>
  <c r="K19" i="25"/>
  <c r="K20" i="25"/>
  <c r="K21" i="25"/>
  <c r="K22" i="25"/>
  <c r="K23" i="25"/>
  <c r="K24" i="25"/>
  <c r="K25" i="25"/>
  <c r="K26" i="25"/>
  <c r="K27" i="25"/>
  <c r="K28" i="25"/>
  <c r="K29" i="25"/>
  <c r="K30" i="25"/>
  <c r="K31" i="25"/>
  <c r="K32" i="25"/>
  <c r="K33" i="25"/>
  <c r="K34" i="25"/>
  <c r="K35" i="25"/>
  <c r="K36" i="25"/>
  <c r="K37" i="25"/>
  <c r="K38" i="25"/>
  <c r="K39" i="25"/>
  <c r="K40" i="25"/>
  <c r="K41" i="25"/>
  <c r="K42" i="25"/>
  <c r="K43" i="25"/>
  <c r="K44" i="25"/>
  <c r="K45" i="25"/>
  <c r="J6" i="25"/>
  <c r="J7" i="25"/>
  <c r="E6" i="25" s="1"/>
  <c r="J8" i="25"/>
  <c r="J9" i="25"/>
  <c r="J10" i="25"/>
  <c r="J11" i="25"/>
  <c r="J12" i="25"/>
  <c r="E15" i="25" s="1"/>
  <c r="J13" i="25"/>
  <c r="E44" i="25" s="1"/>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I6" i="25"/>
  <c r="I7" i="25"/>
  <c r="I8" i="25"/>
  <c r="I9" i="25"/>
  <c r="I10" i="25"/>
  <c r="I11" i="25"/>
  <c r="I12" i="25"/>
  <c r="I13" i="25"/>
  <c r="I14" i="25"/>
  <c r="I15" i="25"/>
  <c r="I16" i="25"/>
  <c r="I17" i="25"/>
  <c r="I18" i="25"/>
  <c r="I19" i="25"/>
  <c r="I20" i="25"/>
  <c r="I21" i="25"/>
  <c r="I22" i="25"/>
  <c r="I23" i="25"/>
  <c r="I24" i="25"/>
  <c r="I25" i="25"/>
  <c r="I26" i="25"/>
  <c r="I27" i="25"/>
  <c r="I28" i="25"/>
  <c r="I29" i="25"/>
  <c r="I30" i="25"/>
  <c r="I31" i="25"/>
  <c r="I32" i="25"/>
  <c r="I33" i="25"/>
  <c r="I34" i="25"/>
  <c r="I35" i="25"/>
  <c r="I36" i="25"/>
  <c r="I37" i="25"/>
  <c r="I38" i="25"/>
  <c r="I39" i="25"/>
  <c r="I40" i="25"/>
  <c r="I41" i="25"/>
  <c r="I42" i="25"/>
  <c r="I43" i="25"/>
  <c r="I44" i="25"/>
  <c r="I45" i="25"/>
  <c r="H6" i="25"/>
  <c r="H7" i="25"/>
  <c r="H8" i="25"/>
  <c r="H9" i="25"/>
  <c r="H10" i="25"/>
  <c r="H11" i="25"/>
  <c r="H12" i="25"/>
  <c r="H13" i="25"/>
  <c r="H14" i="25"/>
  <c r="H15" i="25"/>
  <c r="H16" i="25"/>
  <c r="H17" i="25"/>
  <c r="H18" i="25"/>
  <c r="H19" i="25"/>
  <c r="H20" i="25"/>
  <c r="H21" i="25"/>
  <c r="H22" i="25"/>
  <c r="H23" i="25"/>
  <c r="H24" i="25"/>
  <c r="H25" i="25"/>
  <c r="H26" i="25"/>
  <c r="H27" i="25"/>
  <c r="H28" i="25"/>
  <c r="H29" i="25"/>
  <c r="H30" i="25"/>
  <c r="H31" i="25"/>
  <c r="H32" i="25"/>
  <c r="H33" i="25"/>
  <c r="H34" i="25"/>
  <c r="H35" i="25"/>
  <c r="H36" i="25"/>
  <c r="H37" i="25"/>
  <c r="H38" i="25"/>
  <c r="H39" i="25"/>
  <c r="H40" i="25"/>
  <c r="H41" i="25"/>
  <c r="H42" i="25"/>
  <c r="H43" i="25"/>
  <c r="H44" i="25"/>
  <c r="H45" i="25"/>
  <c r="G6" i="25"/>
  <c r="G7" i="25"/>
  <c r="G8" i="25"/>
  <c r="G9" i="25"/>
  <c r="G10" i="25"/>
  <c r="G11" i="25"/>
  <c r="G12" i="25"/>
  <c r="G13" i="25"/>
  <c r="G14" i="25"/>
  <c r="G15" i="25"/>
  <c r="G16" i="25"/>
  <c r="G17" i="25"/>
  <c r="G18" i="25"/>
  <c r="G19" i="25"/>
  <c r="G20" i="25"/>
  <c r="G21" i="25"/>
  <c r="G22" i="25"/>
  <c r="G23" i="25"/>
  <c r="G24" i="25"/>
  <c r="G25" i="25"/>
  <c r="G26" i="25"/>
  <c r="G27" i="25"/>
  <c r="G28" i="25"/>
  <c r="G29" i="25"/>
  <c r="G30" i="25"/>
  <c r="G31" i="25"/>
  <c r="G32" i="25"/>
  <c r="G33" i="25"/>
  <c r="G34" i="25"/>
  <c r="G35" i="25"/>
  <c r="G36" i="25"/>
  <c r="G37" i="25"/>
  <c r="G38" i="25"/>
  <c r="G39" i="25"/>
  <c r="G40" i="25"/>
  <c r="G41" i="25"/>
  <c r="G42" i="25"/>
  <c r="G43" i="25"/>
  <c r="G44" i="25"/>
  <c r="G45" i="25"/>
  <c r="E45" i="25"/>
  <c r="D6" i="25"/>
  <c r="D7" i="25"/>
  <c r="D8" i="25"/>
  <c r="D9" i="25"/>
  <c r="D10" i="25"/>
  <c r="D11" i="25"/>
  <c r="D12" i="25"/>
  <c r="D13" i="25"/>
  <c r="D14" i="25"/>
  <c r="D15" i="25"/>
  <c r="D16" i="25"/>
  <c r="D17" i="25"/>
  <c r="D18" i="25"/>
  <c r="D19" i="25"/>
  <c r="D20" i="25"/>
  <c r="D21" i="25"/>
  <c r="D22" i="25"/>
  <c r="D23" i="25"/>
  <c r="D24" i="25"/>
  <c r="D25" i="25"/>
  <c r="D26" i="25"/>
  <c r="D27" i="25"/>
  <c r="D28" i="25"/>
  <c r="D29" i="25"/>
  <c r="D30" i="25"/>
  <c r="D31" i="25"/>
  <c r="D32" i="25"/>
  <c r="D33" i="25"/>
  <c r="D34" i="25"/>
  <c r="D35" i="25"/>
  <c r="D36" i="25"/>
  <c r="D37" i="25"/>
  <c r="D38" i="25"/>
  <c r="D39" i="25"/>
  <c r="D40" i="25"/>
  <c r="D41" i="25"/>
  <c r="D42" i="25"/>
  <c r="D43" i="25"/>
  <c r="D44" i="25"/>
  <c r="D45" i="25"/>
  <c r="C6" i="25"/>
  <c r="C7" i="25"/>
  <c r="C8" i="25"/>
  <c r="C9" i="25"/>
  <c r="C10" i="25"/>
  <c r="C11" i="25"/>
  <c r="C12" i="25"/>
  <c r="C13" i="25"/>
  <c r="C14" i="25"/>
  <c r="C15" i="25"/>
  <c r="C16" i="25"/>
  <c r="C17" i="25"/>
  <c r="C18" i="25"/>
  <c r="C19" i="25"/>
  <c r="C20" i="25"/>
  <c r="C21" i="25"/>
  <c r="C22" i="25"/>
  <c r="C23" i="25"/>
  <c r="C24" i="25"/>
  <c r="C25" i="25"/>
  <c r="C26" i="25"/>
  <c r="C27" i="25"/>
  <c r="C28" i="25"/>
  <c r="C29" i="25"/>
  <c r="C30" i="25"/>
  <c r="C31" i="25"/>
  <c r="C32" i="25"/>
  <c r="C33" i="25"/>
  <c r="C34" i="25"/>
  <c r="C35" i="25"/>
  <c r="C36" i="25"/>
  <c r="C37" i="25"/>
  <c r="C38" i="25"/>
  <c r="C39" i="25"/>
  <c r="C40" i="25"/>
  <c r="C41" i="25"/>
  <c r="C42" i="25"/>
  <c r="C43" i="25"/>
  <c r="C44" i="25"/>
  <c r="C45" i="25"/>
  <c r="B6" i="25"/>
  <c r="B7" i="25"/>
  <c r="B8" i="25"/>
  <c r="B9" i="25"/>
  <c r="B10" i="25"/>
  <c r="B11" i="25"/>
  <c r="B12" i="25"/>
  <c r="B13" i="25"/>
  <c r="B14" i="25"/>
  <c r="B15" i="25"/>
  <c r="B16" i="25"/>
  <c r="B17" i="25"/>
  <c r="B18" i="25"/>
  <c r="B19" i="25"/>
  <c r="B20" i="25"/>
  <c r="B21" i="25"/>
  <c r="B22" i="25"/>
  <c r="B23" i="25"/>
  <c r="B24" i="25"/>
  <c r="B25" i="25"/>
  <c r="B26" i="25"/>
  <c r="B27" i="25"/>
  <c r="B28" i="25"/>
  <c r="B29" i="25"/>
  <c r="B30" i="25"/>
  <c r="B31" i="25"/>
  <c r="B32" i="25"/>
  <c r="B33" i="25"/>
  <c r="B34" i="25"/>
  <c r="B35" i="25"/>
  <c r="B36" i="25"/>
  <c r="B37" i="25"/>
  <c r="B38" i="25"/>
  <c r="B39" i="25"/>
  <c r="B40" i="25"/>
  <c r="B41" i="25"/>
  <c r="B42" i="25"/>
  <c r="B43" i="25"/>
  <c r="B44" i="25"/>
  <c r="B45" i="25"/>
  <c r="A6" i="25"/>
  <c r="A7" i="25"/>
  <c r="A8" i="25"/>
  <c r="A9" i="25"/>
  <c r="A10" i="25"/>
  <c r="A11" i="25"/>
  <c r="A12" i="25"/>
  <c r="A13" i="25"/>
  <c r="A14" i="25"/>
  <c r="A15" i="25"/>
  <c r="A16" i="25"/>
  <c r="A17" i="25"/>
  <c r="A18" i="25"/>
  <c r="A19" i="25"/>
  <c r="A20" i="25"/>
  <c r="A21" i="25"/>
  <c r="A22" i="25"/>
  <c r="A23" i="25"/>
  <c r="A24" i="25"/>
  <c r="A25" i="25"/>
  <c r="A26" i="25"/>
  <c r="A27" i="25"/>
  <c r="A28" i="25"/>
  <c r="A29" i="25"/>
  <c r="A30" i="25"/>
  <c r="A31" i="25"/>
  <c r="A32" i="25"/>
  <c r="A33" i="25"/>
  <c r="A34" i="25"/>
  <c r="A35" i="25"/>
  <c r="A36" i="25"/>
  <c r="A37" i="25"/>
  <c r="A38" i="25"/>
  <c r="A39" i="25"/>
  <c r="A40" i="25"/>
  <c r="A41" i="25"/>
  <c r="A42" i="25"/>
  <c r="A43" i="25"/>
  <c r="A44" i="25"/>
  <c r="A45" i="25"/>
  <c r="G10" i="23"/>
  <c r="F10" i="23"/>
  <c r="E10" i="23"/>
  <c r="D10" i="23"/>
  <c r="C10" i="23"/>
  <c r="B10" i="23"/>
  <c r="G9" i="23"/>
  <c r="F9" i="23"/>
  <c r="E9" i="23"/>
  <c r="D9" i="23"/>
  <c r="C9" i="23"/>
  <c r="B9" i="23"/>
  <c r="G8" i="23"/>
  <c r="F8" i="23"/>
  <c r="E8" i="23"/>
  <c r="D8" i="23"/>
  <c r="C8" i="23"/>
  <c r="B8" i="23"/>
  <c r="G7" i="23"/>
  <c r="F7" i="23"/>
  <c r="E7" i="23"/>
  <c r="D7" i="23"/>
  <c r="C7" i="23"/>
  <c r="B7" i="23"/>
  <c r="G6" i="23"/>
  <c r="F6" i="23"/>
  <c r="E6" i="23"/>
  <c r="D6" i="23"/>
  <c r="C6" i="23"/>
  <c r="B6" i="23"/>
  <c r="G5" i="23"/>
  <c r="F5" i="23"/>
  <c r="E5" i="23"/>
  <c r="D5" i="23"/>
  <c r="C5" i="23"/>
  <c r="B5" i="23"/>
  <c r="G4" i="23"/>
  <c r="F4" i="23"/>
  <c r="E4" i="23"/>
  <c r="D4" i="23"/>
  <c r="C4" i="23"/>
  <c r="B4" i="23"/>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M2" i="13"/>
  <c r="M3" i="13"/>
  <c r="M4" i="13"/>
  <c r="M5" i="13"/>
  <c r="M6" i="13"/>
  <c r="M7" i="13"/>
  <c r="M8" i="13"/>
  <c r="M9" i="13"/>
  <c r="M10" i="13"/>
  <c r="L2" i="13"/>
  <c r="L3" i="13"/>
  <c r="L4" i="13"/>
  <c r="L5" i="13"/>
  <c r="L6" i="13"/>
  <c r="L7" i="13"/>
  <c r="L8" i="13"/>
  <c r="L9" i="13"/>
  <c r="L10" i="13"/>
  <c r="K2" i="13"/>
  <c r="K3" i="13"/>
  <c r="K4" i="13"/>
  <c r="K5" i="13"/>
  <c r="K6" i="13"/>
  <c r="K7" i="13"/>
  <c r="K8" i="13"/>
  <c r="K9" i="13"/>
  <c r="K10" i="13"/>
  <c r="D12" i="18"/>
  <c r="D11" i="18"/>
  <c r="D10" i="18"/>
  <c r="D9" i="18"/>
  <c r="D8" i="18"/>
  <c r="D7" i="18"/>
  <c r="D6" i="18"/>
  <c r="D14" i="18"/>
  <c r="D5" i="18"/>
  <c r="D13" i="18"/>
  <c r="D4" i="18"/>
  <c r="D3" i="18"/>
  <c r="F14" i="18"/>
  <c r="F3" i="18"/>
  <c r="F5" i="18"/>
  <c r="F10" i="18"/>
  <c r="F13" i="18"/>
  <c r="F11" i="18"/>
  <c r="F8" i="18"/>
  <c r="F6" i="18"/>
  <c r="F7" i="18"/>
  <c r="F9" i="18"/>
  <c r="F4" i="18"/>
  <c r="F12" i="18"/>
  <c r="E21" i="39" l="1"/>
  <c r="E20" i="39"/>
  <c r="E6" i="39"/>
  <c r="E12" i="39"/>
  <c r="E11" i="39"/>
  <c r="D6" i="39"/>
  <c r="C8" i="35"/>
  <c r="C9" i="35"/>
  <c r="C7" i="35"/>
  <c r="E42" i="25"/>
  <c r="E34" i="25"/>
  <c r="E26" i="25"/>
  <c r="E18" i="25"/>
  <c r="E10" i="25"/>
  <c r="E43" i="25"/>
  <c r="E35" i="25"/>
  <c r="E27" i="25"/>
  <c r="E19" i="25"/>
  <c r="E11" i="25"/>
  <c r="E41" i="25"/>
  <c r="E33" i="25"/>
  <c r="E25" i="25"/>
  <c r="E17" i="25"/>
  <c r="E9" i="25"/>
  <c r="E37" i="25"/>
  <c r="E29" i="25"/>
  <c r="E13" i="25"/>
  <c r="E36" i="25"/>
  <c r="E20" i="25"/>
  <c r="E40" i="25"/>
  <c r="E8" i="25"/>
  <c r="E21" i="25"/>
  <c r="E28" i="25"/>
  <c r="E12" i="25"/>
  <c r="E32" i="25"/>
  <c r="E24" i="25"/>
  <c r="E16" i="25"/>
  <c r="E39" i="25"/>
  <c r="E7" i="25"/>
  <c r="E31" i="25"/>
  <c r="E23" i="25"/>
  <c r="E38" i="25"/>
  <c r="E30" i="25"/>
  <c r="E22" i="25"/>
  <c r="E14" i="2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<sst xmlns="http://schemas.openxmlformats.org/spreadsheetml/2006/main" count="2328" uniqueCount="710">
  <si>
    <t>Client_ID</t>
  </si>
  <si>
    <t>Client_Name</t>
  </si>
  <si>
    <t>Email</t>
  </si>
  <si>
    <t>Course</t>
  </si>
  <si>
    <t>Fee_Status</t>
  </si>
  <si>
    <t>Enrollment_Date</t>
  </si>
  <si>
    <t>Nikhil Gupta</t>
  </si>
  <si>
    <t>user1@email.com</t>
  </si>
  <si>
    <t>Power BI</t>
  </si>
  <si>
    <t>Pending</t>
  </si>
  <si>
    <t>Arjun Sharma</t>
  </si>
  <si>
    <t>user2@email.com</t>
  </si>
  <si>
    <t>GST Mastery</t>
  </si>
  <si>
    <t>Deepak Verma</t>
  </si>
  <si>
    <t>user3@email.com</t>
  </si>
  <si>
    <t>Tally Prime</t>
  </si>
  <si>
    <t>Rahul Gupta</t>
  </si>
  <si>
    <t>user4@email.com</t>
  </si>
  <si>
    <t>Neha Singh</t>
  </si>
  <si>
    <t>user5@email.com</t>
  </si>
  <si>
    <t>Advanced Excel</t>
  </si>
  <si>
    <t>Deepak Gupta</t>
  </si>
  <si>
    <t>user6@email.com</t>
  </si>
  <si>
    <t>Paid</t>
  </si>
  <si>
    <t>Vikas Singh</t>
  </si>
  <si>
    <t>user7@email.com</t>
  </si>
  <si>
    <t>Aman Gupta</t>
  </si>
  <si>
    <t>user8@email.com</t>
  </si>
  <si>
    <t>Karan Gupta</t>
  </si>
  <si>
    <t>user9@email.com</t>
  </si>
  <si>
    <t>Karan Verma</t>
  </si>
  <si>
    <t>user10@email.com</t>
  </si>
  <si>
    <t>Priya Gupta</t>
  </si>
  <si>
    <t>user11@email.com</t>
  </si>
  <si>
    <t>Aman Singh</t>
  </si>
  <si>
    <t>user12@email.com</t>
  </si>
  <si>
    <t>Anita Verma</t>
  </si>
  <si>
    <t>user13@email.com</t>
  </si>
  <si>
    <t>Rahul Sharma</t>
  </si>
  <si>
    <t>user14@email.com</t>
  </si>
  <si>
    <t>Simran Singh</t>
  </si>
  <si>
    <t>user15@email.com</t>
  </si>
  <si>
    <t>user16@email.com</t>
  </si>
  <si>
    <t>Vikas Sharma</t>
  </si>
  <si>
    <t>user17@email.com</t>
  </si>
  <si>
    <t>Nikhil Sharma</t>
  </si>
  <si>
    <t>user18@email.com</t>
  </si>
  <si>
    <t>user19@email.com</t>
  </si>
  <si>
    <t>Arjun Verma</t>
  </si>
  <si>
    <t>user20@email.com</t>
  </si>
  <si>
    <t>Simran Verma</t>
  </si>
  <si>
    <t>user21@email.com</t>
  </si>
  <si>
    <t>Riya Singh</t>
  </si>
  <si>
    <t>user22@email.com</t>
  </si>
  <si>
    <t>Riya Verma</t>
  </si>
  <si>
    <t>user23@email.com</t>
  </si>
  <si>
    <t>user24@email.com</t>
  </si>
  <si>
    <t>Aman Verma</t>
  </si>
  <si>
    <t>user25@email.com</t>
  </si>
  <si>
    <t>user26@email.com</t>
  </si>
  <si>
    <t>user27@email.com</t>
  </si>
  <si>
    <t>user28@email.com</t>
  </si>
  <si>
    <t>Suresh Gupta</t>
  </si>
  <si>
    <t>user29@email.com</t>
  </si>
  <si>
    <t>user30@email.com</t>
  </si>
  <si>
    <t>user31@email.com</t>
  </si>
  <si>
    <t>Pooja Singh</t>
  </si>
  <si>
    <t>user32@email.com</t>
  </si>
  <si>
    <t>Priya Verma</t>
  </si>
  <si>
    <t>user33@email.com</t>
  </si>
  <si>
    <t>user34@email.com</t>
  </si>
  <si>
    <t>user35@email.com</t>
  </si>
  <si>
    <t>Riya Sharma</t>
  </si>
  <si>
    <t>user36@email.com</t>
  </si>
  <si>
    <t>Neha Verma</t>
  </si>
  <si>
    <t>user37@email.com</t>
  </si>
  <si>
    <t>Vikas Gupta</t>
  </si>
  <si>
    <t>user38@email.com</t>
  </si>
  <si>
    <t>user39@email.com</t>
  </si>
  <si>
    <t>user40@email.com</t>
  </si>
  <si>
    <t>Email_Data</t>
  </si>
  <si>
    <t>Sales_Data</t>
  </si>
  <si>
    <t>Payroll_Data</t>
  </si>
  <si>
    <t>Expenses</t>
  </si>
  <si>
    <t>Inventory</t>
  </si>
  <si>
    <t>Client_Followup</t>
  </si>
  <si>
    <t>Raw_Messy_Data</t>
  </si>
  <si>
    <t>Budget_vs_Actual</t>
  </si>
  <si>
    <t>Date</t>
  </si>
  <si>
    <t>Region</t>
  </si>
  <si>
    <t>Product</t>
  </si>
  <si>
    <t>Sales_Amount</t>
  </si>
  <si>
    <t>North</t>
  </si>
  <si>
    <t>Power BI Course</t>
  </si>
  <si>
    <t>West</t>
  </si>
  <si>
    <t>Tally Course</t>
  </si>
  <si>
    <t>GST Course</t>
  </si>
  <si>
    <t>East</t>
  </si>
  <si>
    <t>South</t>
  </si>
  <si>
    <t>Excel Course</t>
  </si>
  <si>
    <t>Emp_ID</t>
  </si>
  <si>
    <t>Employee_Name</t>
  </si>
  <si>
    <t>Department</t>
  </si>
  <si>
    <t>Basic_Salary</t>
  </si>
  <si>
    <t>Bonus</t>
  </si>
  <si>
    <t>Deductions</t>
  </si>
  <si>
    <t>Anita Singh</t>
  </si>
  <si>
    <t>IT</t>
  </si>
  <si>
    <t>Rahul Singh</t>
  </si>
  <si>
    <t>Sales</t>
  </si>
  <si>
    <t>Rohit Singh</t>
  </si>
  <si>
    <t>Accounts</t>
  </si>
  <si>
    <t>HR</t>
  </si>
  <si>
    <t>Priya Singh</t>
  </si>
  <si>
    <t>Admin</t>
  </si>
  <si>
    <t>Arjun Kumar</t>
  </si>
  <si>
    <t>Karan Singh</t>
  </si>
  <si>
    <t>Nikhil Verma</t>
  </si>
  <si>
    <t>Nikhil Singh</t>
  </si>
  <si>
    <t>Riya Kumar</t>
  </si>
  <si>
    <t>Anita Kumar</t>
  </si>
  <si>
    <t>Suresh Singh</t>
  </si>
  <si>
    <t>Marketing</t>
  </si>
  <si>
    <t>Arjun Singh</t>
  </si>
  <si>
    <t>Vikas Kumar</t>
  </si>
  <si>
    <t>Neha Kumar</t>
  </si>
  <si>
    <t>Deepak Kumar</t>
  </si>
  <si>
    <t>Rohit Kumar</t>
  </si>
  <si>
    <t>Karan Kumar</t>
  </si>
  <si>
    <t>Rahul Verma</t>
  </si>
  <si>
    <t>Priya Kumar</t>
  </si>
  <si>
    <t>Rahul Kumar</t>
  </si>
  <si>
    <t>Description</t>
  </si>
  <si>
    <t>Amount</t>
  </si>
  <si>
    <t>Consulting Fee</t>
  </si>
  <si>
    <t>Utility Bill</t>
  </si>
  <si>
    <t>Office Rent</t>
  </si>
  <si>
    <t>Software Purchase</t>
  </si>
  <si>
    <t>Client Payment</t>
  </si>
  <si>
    <t>Bank Charges</t>
  </si>
  <si>
    <t>Category</t>
  </si>
  <si>
    <t>Travel</t>
  </si>
  <si>
    <t>Expense Item 1</t>
  </si>
  <si>
    <t>Expense Item 2</t>
  </si>
  <si>
    <t>Utilities</t>
  </si>
  <si>
    <t>Expense Item 3</t>
  </si>
  <si>
    <t>Expense Item 4</t>
  </si>
  <si>
    <t>Expense Item 5</t>
  </si>
  <si>
    <t>Expense Item 6</t>
  </si>
  <si>
    <t>Expense Item 7</t>
  </si>
  <si>
    <t>Expense Item 8</t>
  </si>
  <si>
    <t>Expense Item 9</t>
  </si>
  <si>
    <t>Office</t>
  </si>
  <si>
    <t>Expense Item 10</t>
  </si>
  <si>
    <t>Expense Item 11</t>
  </si>
  <si>
    <t>Expense Item 12</t>
  </si>
  <si>
    <t>Expense Item 13</t>
  </si>
  <si>
    <t>Expense Item 14</t>
  </si>
  <si>
    <t>Expense Item 15</t>
  </si>
  <si>
    <t>Expense Item 16</t>
  </si>
  <si>
    <t>Software</t>
  </si>
  <si>
    <t>Expense Item 17</t>
  </si>
  <si>
    <t>Expense Item 18</t>
  </si>
  <si>
    <t>Expense Item 19</t>
  </si>
  <si>
    <t>Expense Item 20</t>
  </si>
  <si>
    <t>Expense Item 21</t>
  </si>
  <si>
    <t>Expense Item 22</t>
  </si>
  <si>
    <t>Expense Item 23</t>
  </si>
  <si>
    <t>Expense Item 24</t>
  </si>
  <si>
    <t>Expense Item 25</t>
  </si>
  <si>
    <t>Expense Item 26</t>
  </si>
  <si>
    <t>Expense Item 27</t>
  </si>
  <si>
    <t>Expense Item 28</t>
  </si>
  <si>
    <t>Expense Item 29</t>
  </si>
  <si>
    <t>Expense Item 30</t>
  </si>
  <si>
    <t>Expense Item 31</t>
  </si>
  <si>
    <t>Expense Item 32</t>
  </si>
  <si>
    <t>Expense Item 33</t>
  </si>
  <si>
    <t>Expense Item 34</t>
  </si>
  <si>
    <t>Expense Item 35</t>
  </si>
  <si>
    <t>Expense Item 36</t>
  </si>
  <si>
    <t>Expense Item 37</t>
  </si>
  <si>
    <t>Expense Item 38</t>
  </si>
  <si>
    <t>Expense Item 39</t>
  </si>
  <si>
    <t>Expense Item 40</t>
  </si>
  <si>
    <t>Item_ID</t>
  </si>
  <si>
    <t>Item_Name</t>
  </si>
  <si>
    <t>Stock_Available</t>
  </si>
  <si>
    <t>Reorder_Level</t>
  </si>
  <si>
    <t>Supplier</t>
  </si>
  <si>
    <t>Item_1</t>
  </si>
  <si>
    <t>Lenovo</t>
  </si>
  <si>
    <t>Item_2</t>
  </si>
  <si>
    <t>Epson</t>
  </si>
  <si>
    <t>Item_3</t>
  </si>
  <si>
    <t>HP</t>
  </si>
  <si>
    <t>Item_4</t>
  </si>
  <si>
    <t>Samsung</t>
  </si>
  <si>
    <t>Item_5</t>
  </si>
  <si>
    <t>Logitech</t>
  </si>
  <si>
    <t>Item_6</t>
  </si>
  <si>
    <t>Item_7</t>
  </si>
  <si>
    <t>Item_8</t>
  </si>
  <si>
    <t>Item_9</t>
  </si>
  <si>
    <t>Item_10</t>
  </si>
  <si>
    <t>Item_11</t>
  </si>
  <si>
    <t>Item_12</t>
  </si>
  <si>
    <t>Item_13</t>
  </si>
  <si>
    <t>Item_14</t>
  </si>
  <si>
    <t>Item_15</t>
  </si>
  <si>
    <t>Item_16</t>
  </si>
  <si>
    <t>Item_17</t>
  </si>
  <si>
    <t>Item_18</t>
  </si>
  <si>
    <t>Item_19</t>
  </si>
  <si>
    <t>Dell</t>
  </si>
  <si>
    <t>Item_20</t>
  </si>
  <si>
    <t>Item_21</t>
  </si>
  <si>
    <t>Item_22</t>
  </si>
  <si>
    <t>Item_23</t>
  </si>
  <si>
    <t>Item_24</t>
  </si>
  <si>
    <t>Item_25</t>
  </si>
  <si>
    <t>Item_26</t>
  </si>
  <si>
    <t>Item_27</t>
  </si>
  <si>
    <t>Item_28</t>
  </si>
  <si>
    <t>Item_29</t>
  </si>
  <si>
    <t>Item_30</t>
  </si>
  <si>
    <t>Item_31</t>
  </si>
  <si>
    <t>Item_32</t>
  </si>
  <si>
    <t>Item_33</t>
  </si>
  <si>
    <t>Item_34</t>
  </si>
  <si>
    <t>Item_35</t>
  </si>
  <si>
    <t>Item_36</t>
  </si>
  <si>
    <t>Item_37</t>
  </si>
  <si>
    <t>Item_38</t>
  </si>
  <si>
    <t>Item_39</t>
  </si>
  <si>
    <t>Item_40</t>
  </si>
  <si>
    <t>Company</t>
  </si>
  <si>
    <t>Last_Contact_Date</t>
  </si>
  <si>
    <t>Status</t>
  </si>
  <si>
    <t>Next_Followup</t>
  </si>
  <si>
    <t>Neha Sharma</t>
  </si>
  <si>
    <t>Company_1</t>
  </si>
  <si>
    <t>Follow-up</t>
  </si>
  <si>
    <t>Suresh Sharma</t>
  </si>
  <si>
    <t>Company_2</t>
  </si>
  <si>
    <t>Interested</t>
  </si>
  <si>
    <t>Deepak Sharma</t>
  </si>
  <si>
    <t>Company_3</t>
  </si>
  <si>
    <t>Company_4</t>
  </si>
  <si>
    <t>Company_5</t>
  </si>
  <si>
    <t>Closed</t>
  </si>
  <si>
    <t>Company_6</t>
  </si>
  <si>
    <t>Negotiation</t>
  </si>
  <si>
    <t>Company_7</t>
  </si>
  <si>
    <t>Neha Gupta</t>
  </si>
  <si>
    <t>Company_8</t>
  </si>
  <si>
    <t>Suresh Verma</t>
  </si>
  <si>
    <t>Company_9</t>
  </si>
  <si>
    <t>Karan Sharma</t>
  </si>
  <si>
    <t>Company_10</t>
  </si>
  <si>
    <t>Priya Sharma</t>
  </si>
  <si>
    <t>Company_11</t>
  </si>
  <si>
    <t>Pooja Gupta</t>
  </si>
  <si>
    <t>Company_12</t>
  </si>
  <si>
    <t>Aman Sharma</t>
  </si>
  <si>
    <t>Company_13</t>
  </si>
  <si>
    <t>Company_14</t>
  </si>
  <si>
    <t>Company_15</t>
  </si>
  <si>
    <t>Simran Sharma</t>
  </si>
  <si>
    <t>Company_16</t>
  </si>
  <si>
    <t>Company_17</t>
  </si>
  <si>
    <t>Company_18</t>
  </si>
  <si>
    <t>Company_19</t>
  </si>
  <si>
    <t>Simran Gupta</t>
  </si>
  <si>
    <t>Company_20</t>
  </si>
  <si>
    <t>Company_21</t>
  </si>
  <si>
    <t>Company_22</t>
  </si>
  <si>
    <t>Company_23</t>
  </si>
  <si>
    <t>Company_24</t>
  </si>
  <si>
    <t>Company_25</t>
  </si>
  <si>
    <t>Company_26</t>
  </si>
  <si>
    <t>Company_27</t>
  </si>
  <si>
    <t>Company_28</t>
  </si>
  <si>
    <t>Company_29</t>
  </si>
  <si>
    <t>Demo Given</t>
  </si>
  <si>
    <t>Company_30</t>
  </si>
  <si>
    <t>Company_31</t>
  </si>
  <si>
    <t>Rohit Gupta</t>
  </si>
  <si>
    <t>Company_32</t>
  </si>
  <si>
    <t>Vikas Verma</t>
  </si>
  <si>
    <t>Company_33</t>
  </si>
  <si>
    <t>Company_34</t>
  </si>
  <si>
    <t>Company_35</t>
  </si>
  <si>
    <t>Company_36</t>
  </si>
  <si>
    <t>Company_37</t>
  </si>
  <si>
    <t>Company_38</t>
  </si>
  <si>
    <t>Company_39</t>
  </si>
  <si>
    <t>Company_40</t>
  </si>
  <si>
    <t>Name</t>
  </si>
  <si>
    <t>City</t>
  </si>
  <si>
    <t>Bangalore</t>
  </si>
  <si>
    <t>Budget</t>
  </si>
  <si>
    <t>Actual</t>
  </si>
  <si>
    <t>Sheet Name</t>
  </si>
  <si>
    <t>Topic / Demo</t>
  </si>
  <si>
    <t>Claude Prompt (Copy-Paste)</t>
  </si>
  <si>
    <t>Email Generation from Excel Data</t>
  </si>
  <si>
    <t>“Using the Email_Data sheet, generate personalized payment reminder emails for clients whose fee status is pending.”</t>
  </si>
  <si>
    <t>Follow-up Email Automation</t>
  </si>
  <si>
    <t>“From the Email_Data sheet, draft follow-up emails for students who enrolled in Advanced Excel course.”</t>
  </si>
  <si>
    <t>Index_Sheet</t>
  </si>
  <si>
    <t>Index Sheet Navigation</t>
  </si>
  <si>
    <t>“Create an index sheet with hyperlinks for all sheets in this Excel workbook.”</t>
  </si>
  <si>
    <t>Data Cleaning</t>
  </si>
  <si>
    <t>“Clean the Raw_Messy_Data sheet by removing extra spaces, standardizing city names, and removing duplicate records.”</t>
  </si>
  <si>
    <t>Data Standardization</t>
  </si>
  <si>
    <t>“Standardize the city names in Raw_Messy_Data so that Delhi, delhi and Delhi are treated as the same value.”</t>
  </si>
  <si>
    <t>Salary Calculation</t>
  </si>
  <si>
    <t>“Using the Payroll_Data sheet, create a formula to calculate net salary as Basic Salary + Bonus − Deductions.”</t>
  </si>
  <si>
    <t>Payroll Summary</t>
  </si>
  <si>
    <t>“Generate a department-wise payroll summary from the Payroll_Data sheet.”</t>
  </si>
  <si>
    <t>Bank_Books + Bank_Statement</t>
  </si>
  <si>
    <t>Bank Reconciliation</t>
  </si>
  <si>
    <t>“Compare the Bank_Books and Bank_Statement sheets and identify unmatched transactions.”</t>
  </si>
  <si>
    <t>Reconciliation Report</t>
  </si>
  <si>
    <t>“Prepare a reconciliation report showing missing entries between Bank_Books and Bank_Statement.”</t>
  </si>
  <si>
    <t>Expense Analysis</t>
  </si>
  <si>
    <t>“Create a category-wise expense summary from the Expenses sheet.”</t>
  </si>
  <si>
    <t>Monthly Expense Report</t>
  </si>
  <si>
    <t>“Generate a monthly expense report and identify the highest expense category.”</t>
  </si>
  <si>
    <t>Low Stock Alert</t>
  </si>
  <si>
    <t>“From the Inventory sheet, identify items where stock available is below the reorder level.”</t>
  </si>
  <si>
    <t>Inventory Summary</t>
  </si>
  <si>
    <t>“Create a summary report of total items and low stock items from the Inventory sheet.”</t>
  </si>
  <si>
    <t>Follow-up Tracker</t>
  </si>
  <si>
    <t>“From the Client_Followup sheet, identify clients who need follow-up in the next 7 days.”</t>
  </si>
  <si>
    <t>Sales Pipeline Insight</t>
  </si>
  <si>
    <t>“Create a summary of client status such as Interested, Negotiation, and Closed from the Client_Followup sheet.”</t>
  </si>
  <si>
    <t>Variance Analysis</t>
  </si>
  <si>
    <t>“Analyze the Budget_vs_Actual sheet and identify which departments exceeded their budget.”</t>
  </si>
  <si>
    <t>Budget Report</t>
  </si>
  <si>
    <t>“Create a report showing variance between budget and actual spending for each department.”</t>
  </si>
  <si>
    <t>Sales Dashboard</t>
  </si>
  <si>
    <t>“Using the Sales_Data sheet, create a sales dashboard with region-wise and product-wise charts.”</t>
  </si>
  <si>
    <t>Pivot Analysis</t>
  </si>
  <si>
    <t>“Generate a pivot table showing total sales by region and product from the Sales_Data sheet.”</t>
  </si>
  <si>
    <t>Sales Insights</t>
  </si>
  <si>
    <t>“Analyze the Sales_Data sheet and identify the top performing product and region.”</t>
  </si>
  <si>
    <t>Data to Presentation Notes</t>
  </si>
  <si>
    <t>“Analyze the Sales_Data sheet and create concise presentation notes highlighting key sales trends, top products, and region-wise performance.”</t>
  </si>
  <si>
    <t>Executive Summary</t>
  </si>
  <si>
    <t>“From the Sales_Data sheet, generate a short executive summary of sales performance that can be used in a business presentation.”</t>
  </si>
  <si>
    <t>Management Notes</t>
  </si>
  <si>
    <t>“Analyze the Budget_vs_Actual sheet and prepare bullet-point notes explaining which departments exceeded budget and possible reasons.”</t>
  </si>
  <si>
    <t>Insights for Presentation</t>
  </si>
  <si>
    <t>“Create presentation-ready insights from the Expenses sheet showing major spending categories and cost patterns.”</t>
  </si>
  <si>
    <t>PPT Creation</t>
  </si>
  <si>
    <t>“Create an outline for a PowerPoint presentation based on the Sales_Data analysis including slide titles, key points, and suggested charts.”</t>
  </si>
  <si>
    <t>Full PPT Draft</t>
  </si>
  <si>
    <t>“Generate a complete PowerPoint structure (10 slides) based on the Sales_Data insights including slide titles and bullet points.”</t>
  </si>
  <si>
    <t>Electronics</t>
  </si>
  <si>
    <t>Mouse</t>
  </si>
  <si>
    <t>karan171@gmail.com</t>
  </si>
  <si>
    <t>ORD10017</t>
  </si>
  <si>
    <t>Headphones</t>
  </si>
  <si>
    <t>anjali106@gmail.com</t>
  </si>
  <si>
    <t>Anjali Jain</t>
  </si>
  <si>
    <t>ORD10016</t>
  </si>
  <si>
    <t>Gadgets</t>
  </si>
  <si>
    <t>Webcam</t>
  </si>
  <si>
    <t>priya199@gmail.com</t>
  </si>
  <si>
    <t>Priya Arora</t>
  </si>
  <si>
    <t>ORD10015</t>
  </si>
  <si>
    <t>anjali175@gmail.com</t>
  </si>
  <si>
    <t>Anjali Mehta</t>
  </si>
  <si>
    <t>ORD10014</t>
  </si>
  <si>
    <t>Tech</t>
  </si>
  <si>
    <t>Tablet</t>
  </si>
  <si>
    <t>rohit42@gmail.com</t>
  </si>
  <si>
    <t>Rohit Jain</t>
  </si>
  <si>
    <t>ORD10013</t>
  </si>
  <si>
    <t>USB Cable</t>
  </si>
  <si>
    <t>arjun46@gmail.com</t>
  </si>
  <si>
    <t>ORD10012</t>
  </si>
  <si>
    <t>Charger</t>
  </si>
  <si>
    <t>neha49@gmail.com</t>
  </si>
  <si>
    <t>Neha Kapoor</t>
  </si>
  <si>
    <t>ORD10010</t>
  </si>
  <si>
    <t>vikas143@gmail.com</t>
  </si>
  <si>
    <t>ORD10009</t>
  </si>
  <si>
    <t>Monitor</t>
  </si>
  <si>
    <t>sneha180@gmail.com</t>
  </si>
  <si>
    <t>Sneha Verma</t>
  </si>
  <si>
    <t>ORD10007</t>
  </si>
  <si>
    <t>rohit138@gmail.com</t>
  </si>
  <si>
    <t>Rohit Arora</t>
  </si>
  <si>
    <t>ORD10006</t>
  </si>
  <si>
    <t>meena84@gmail.com</t>
  </si>
  <si>
    <t>Meena Sharma</t>
  </si>
  <si>
    <t>ORD10005</t>
  </si>
  <si>
    <t>ORD10008</t>
  </si>
  <si>
    <t>neha60@gmail.com</t>
  </si>
  <si>
    <t>ORD10004</t>
  </si>
  <si>
    <t>neha3@gmail.com</t>
  </si>
  <si>
    <t>ORD10003</t>
  </si>
  <si>
    <t>arjun5@gmail.com</t>
  </si>
  <si>
    <t>ORD10002</t>
  </si>
  <si>
    <t>sneha12@gmail.com</t>
  </si>
  <si>
    <t>ORD10001</t>
  </si>
  <si>
    <t>ORD10000</t>
  </si>
  <si>
    <t>pooja95@gmail.com</t>
  </si>
  <si>
    <t>Pooja Bansal</t>
  </si>
  <si>
    <t>Price</t>
  </si>
  <si>
    <t>Quantity</t>
  </si>
  <si>
    <t>CustomerName</t>
  </si>
  <si>
    <t>OrderID</t>
  </si>
  <si>
    <t>#</t>
  </si>
  <si>
    <t>Worksheet Name</t>
  </si>
  <si>
    <t>Formula</t>
  </si>
  <si>
    <t>Bank_Books</t>
  </si>
  <si>
    <t>Bank_Statement</t>
  </si>
  <si>
    <t>Prompts</t>
  </si>
  <si>
    <t>📑 Workbook Index - Navigation Guide</t>
  </si>
  <si>
    <t>Quick Navigate (Ctrl+G)</t>
  </si>
  <si>
    <t>Order management &amp; lookup practice</t>
  </si>
  <si>
    <t>Client enrollment &amp; payment tracking</t>
  </si>
  <si>
    <t>Data cleaning practice</t>
  </si>
  <si>
    <t>Employee salary calculations</t>
  </si>
  <si>
    <t>Internal accounting records</t>
  </si>
  <si>
    <t>External bank data</t>
  </si>
  <si>
    <t>Expense tracking by category</t>
  </si>
  <si>
    <t>Stock management &amp; alerts</t>
  </si>
  <si>
    <t>CRM &amp; sales pipeline</t>
  </si>
  <si>
    <t>Budget variance analysis</t>
  </si>
  <si>
    <t>Large sales dataset for analysis</t>
  </si>
  <si>
    <t>Sample prompts &amp; use cases</t>
  </si>
  <si>
    <t>📌 How to Navigate:</t>
  </si>
  <si>
    <t>1️⃣ Click any sheet tab at the bottom of Excel</t>
  </si>
  <si>
    <t>2️⃣ Or press Ctrl+G, paste a value from column D, and press Enter</t>
  </si>
  <si>
    <t>3️⃣ Or use keyboard: Ctrl+Page Down / Ctrl+Page Up to move between sheets</t>
  </si>
  <si>
    <t>Would you like me to perform any specific analysis or task on any of these worksheets?</t>
  </si>
  <si>
    <t>Workbook Overview: Excel_Demo.xlsx</t>
  </si>
  <si>
    <r>
      <t xml:space="preserve">This workbook contains </t>
    </r>
    <r>
      <rPr>
        <b/>
        <sz val="11"/>
        <color theme="1"/>
        <rFont val="Calibri"/>
        <family val="2"/>
        <scheme val="minor"/>
      </rPr>
      <t>12 worksheets</t>
    </r>
    <r>
      <rPr>
        <sz val="11"/>
        <color theme="1"/>
        <rFont val="Calibri"/>
        <family val="2"/>
        <scheme val="minor"/>
      </rPr>
      <t xml:space="preserve"> covering various business operations, from sales and payroll to inventory and client management. Here's a detailed breakdown:</t>
    </r>
  </si>
  <si>
    <t>📋 Worksheet Summary</t>
  </si>
  <si>
    <t>Rows × Cols</t>
  </si>
  <si>
    <t>Key Columns</t>
  </si>
  <si>
    <t>Purpose</t>
  </si>
  <si>
    <t>17 × 13</t>
  </si>
  <si>
    <t>OrderID, CustomerName, Email, Product, Category, Price, Quantity</t>
  </si>
  <si>
    <t>Order management with lookup areas (J-M columns) for practicing formulas like VLOOKUP/XLOOKUP</t>
  </si>
  <si>
    <t>41 × 6</t>
  </si>
  <si>
    <t>Client_ID, Client_Name, Email, Course, Fee_Status, Enrollment_Date</t>
  </si>
  <si>
    <t>Client enrollment tracking; useful for generating payment reminders and follow-up emails</t>
  </si>
  <si>
    <t>45 × 3</t>
  </si>
  <si>
    <t>Name, City, Sales</t>
  </si>
  <si>
    <t>Data cleaning practice—contains inconsistent spacing, case variations, and duplicates</t>
  </si>
  <si>
    <t>Emp_ID, Employee_Name, Department, Basic_Salary, Bonus, Deductions</t>
  </si>
  <si>
    <t>Payroll processing and net salary calculations</t>
  </si>
  <si>
    <t>41 × 3</t>
  </si>
  <si>
    <t>Date, Description, Amount</t>
  </si>
  <si>
    <t>Internal accounting records for bank reconciliation</t>
  </si>
  <si>
    <t>External bank statement data for reconciliation comparison</t>
  </si>
  <si>
    <t>41 × 4</t>
  </si>
  <si>
    <t>Date, Category, Description, Amount</t>
  </si>
  <si>
    <t>Expense tracking by category (Travel, Marketing, Office, Software, Utilities)</t>
  </si>
  <si>
    <t>41 × 5</t>
  </si>
  <si>
    <t>Item_ID, Item_Name, Stock_Available, Reorder_Level, Supplier</t>
  </si>
  <si>
    <t>Inventory management and low-stock alerts</t>
  </si>
  <si>
    <t>Client_Name, Company, Last_Contact_Date, Status, Next_Followup</t>
  </si>
  <si>
    <t>CRM/sales pipeline tracking with follow-up scheduling</t>
  </si>
  <si>
    <t>7 × 3</t>
  </si>
  <si>
    <t>Department, Budget, Actual</t>
  </si>
  <si>
    <t>Budget variance analysis by department</t>
  </si>
  <si>
    <t>401 × 4</t>
  </si>
  <si>
    <t>Date, Region, Product, Sales_Amount</t>
  </si>
  <si>
    <t>Large sales dataset for pivot tables, dashboards, and trend analysis</t>
  </si>
  <si>
    <t>35 × 3</t>
  </si>
  <si>
    <t>Sheet Name, Topic/Demo, Claude Prompt</t>
  </si>
  <si>
    <t>Reference sheet with sample prompts and use cases</t>
  </si>
  <si>
    <t>🎯 Use Cases by Worksheet</t>
  </si>
  <si>
    <t>Worksheet</t>
  </si>
  <si>
    <t>What You Can Do</t>
  </si>
  <si>
    <t>Practice lookup formulas (VLOOKUP, XLOOKUP, INDEX-MATCH)</t>
  </si>
  <si>
    <t>Generate personalized reminder emails for pending payments</t>
  </si>
  <si>
    <t>Clean data: trim spaces, standardize text, remove duplicates</t>
  </si>
  <si>
    <t>Calculate net salaries, create department summaries</t>
  </si>
  <si>
    <t>Perform bank reconciliation, identify unmatched transactions</t>
  </si>
  <si>
    <t>Analyze spending by category, create monthly expense reports</t>
  </si>
  <si>
    <t>Identify low-stock items, generate reorder alerts</t>
  </si>
  <si>
    <t>Track sales pipeline, identify upcoming follow-ups</t>
  </si>
  <si>
    <t>Variance analysis, identify over/under-budget departments</t>
  </si>
  <si>
    <t>Create dashboards, pivot tables, regional/product analysis</t>
  </si>
  <si>
    <t>💡 Quick Insights</t>
  </si>
  <si>
    <r>
      <t>Largest dataset</t>
    </r>
    <r>
      <rPr>
        <sz val="11"/>
        <color theme="1"/>
        <rFont val="Calibri"/>
        <family val="2"/>
        <scheme val="minor"/>
      </rPr>
      <t>: Sales_Data with 400 transactions across 4 regions and 4 products</t>
    </r>
  </si>
  <si>
    <r>
      <t>Data quality issues</t>
    </r>
    <r>
      <rPr>
        <sz val="11"/>
        <color theme="1"/>
        <rFont val="Calibri"/>
        <family val="2"/>
        <scheme val="minor"/>
      </rPr>
      <t>: Raw_Messy_Data needs cleaning (spacing, capitalization, duplicates)</t>
    </r>
  </si>
  <si>
    <r>
      <t>Reconciliation pair</t>
    </r>
    <r>
      <rPr>
        <sz val="11"/>
        <color theme="1"/>
        <rFont val="Calibri"/>
        <family val="2"/>
        <scheme val="minor"/>
      </rPr>
      <t>: Bank_Books and Bank_Statement are designed for comparison exercises</t>
    </r>
  </si>
  <si>
    <r>
      <t>Ready-to-use prompts</t>
    </r>
    <r>
      <rPr>
        <sz val="11"/>
        <color theme="1"/>
        <rFont val="Calibri"/>
        <family val="2"/>
        <scheme val="minor"/>
      </rPr>
      <t>: The Prompts sheet contains 20+ sample tasks you can try</t>
    </r>
  </si>
  <si>
    <t>Email_Subject</t>
  </si>
  <si>
    <t>Email_Body</t>
  </si>
  <si>
    <t>Followup_Email</t>
  </si>
  <si>
    <t>Priya</t>
  </si>
  <si>
    <t>Mumbai</t>
  </si>
  <si>
    <t>Rohit</t>
  </si>
  <si>
    <t>Delhi</t>
  </si>
  <si>
    <t>Neha</t>
  </si>
  <si>
    <t>Aman</t>
  </si>
  <si>
    <t>Pune</t>
  </si>
  <si>
    <t>📊 Data Cleaning Summary</t>
  </si>
  <si>
    <t>Original Records:</t>
  </si>
  <si>
    <t>Cleaned Records:</t>
  </si>
  <si>
    <t>Duplicates Removed:</t>
  </si>
  <si>
    <t>Unique Names:</t>
  </si>
  <si>
    <t>Unique Cities:</t>
  </si>
  <si>
    <t>Standardized Cities:</t>
  </si>
  <si>
    <t>Bangalore, Delhi, Mumbai, Pune</t>
  </si>
  <si>
    <t>Net_Salary</t>
  </si>
  <si>
    <t>📊 Department-Wise Payroll Summary</t>
  </si>
  <si>
    <t>Employee_Count</t>
  </si>
  <si>
    <t>Total_Basic_Salary</t>
  </si>
  <si>
    <t>Total_Bonus</t>
  </si>
  <si>
    <t>Total_Deductions</t>
  </si>
  <si>
    <t>Total_Net_Salary</t>
  </si>
  <si>
    <t>Avg_Net_Salary</t>
  </si>
  <si>
    <t>GRAND TOTAL</t>
  </si>
  <si>
    <t>📌 Conditional Formatting Applied:</t>
  </si>
  <si>
    <t>• Employee Count: Blue data bars show relative department size</t>
  </si>
  <si>
    <t>• Total Net Salary: Color scale (Red=Low, Yellow=Mid, Green=High)</t>
  </si>
  <si>
    <t>• Avg Net Salary: Arrow icons (↑ High, → Mid, ↓ Low)</t>
  </si>
  <si>
    <t>🏦 Bank Reconciliation Report</t>
  </si>
  <si>
    <t>Comparison of Bank_Books vs Bank_Statement</t>
  </si>
  <si>
    <t>📘 Bank Books (Internal Records)</t>
  </si>
  <si>
    <t>Match_Key</t>
  </si>
  <si>
    <t>Match_Status</t>
  </si>
  <si>
    <t>📗 Bank Statement (External Records)</t>
  </si>
  <si>
    <t>📊 Reconciliation Summary</t>
  </si>
  <si>
    <t>Metric</t>
  </si>
  <si>
    <t>Value</t>
  </si>
  <si>
    <t>Total Bank Books Entries</t>
  </si>
  <si>
    <t>Total Bank Statement Entries</t>
  </si>
  <si>
    <t>Matched in Bank Books</t>
  </si>
  <si>
    <t>Unmatched in Bank Books</t>
  </si>
  <si>
    <t>Matched in Bank Statement</t>
  </si>
  <si>
    <t>Unmatched in Bank Statement</t>
  </si>
  <si>
    <t>Bank Books Total Amount</t>
  </si>
  <si>
    <t>Bank Statement Total Amount</t>
  </si>
  <si>
    <t>⚠️ Unmatched Transactions Details</t>
  </si>
  <si>
    <t>Note: Transactions are matched based on Date + Description + Amount combination. Unmatched entries may indicate:</t>
  </si>
  <si>
    <t>• Transactions recorded in one book but not the other</t>
  </si>
  <si>
    <t>• Timing differences between internal records and bank processing</t>
  </si>
  <si>
    <t>• Data entry errors or discrepancies in amounts</t>
  </si>
  <si>
    <t>• Bank charges or fees not recorded in internal books</t>
  </si>
  <si>
    <t>Date_Match</t>
  </si>
  <si>
    <t>Variance (Books - Statement)</t>
  </si>
  <si>
    <t>📋 Reconciliation Analysis</t>
  </si>
  <si>
    <t>The Bank Books and Bank Statement contain:</t>
  </si>
  <si>
    <t>• Same date range (Jan 1 - Feb 9, 2026)</t>
  </si>
  <si>
    <t>• Different transaction descriptions</t>
  </si>
  <si>
    <t>• Different transaction amounts</t>
  </si>
  <si>
    <t>• This indicates two independent record sources</t>
  </si>
  <si>
    <t>• Full reconciliation requires manual review</t>
  </si>
  <si>
    <t>Books Amount</t>
  </si>
  <si>
    <t>Statement Amount</t>
  </si>
  <si>
    <t>Difference</t>
  </si>
  <si>
    <t>📅 Date-wise Amount Comparison</t>
  </si>
  <si>
    <t>📋 Bank Reconciliation - Missing Entries Report</t>
  </si>
  <si>
    <t>Generated: 29/3/2026</t>
  </si>
  <si>
    <t>📘 Missing from Bank Statement (Recorded in Books but NOT in Statement)</t>
  </si>
  <si>
    <t>📗 Missing from Bank Books (Recorded in Statement but NOT in Books)</t>
  </si>
  <si>
    <t>Missing from Statement (in Books only)</t>
  </si>
  <si>
    <t>Missing from Books (in Statement only)</t>
  </si>
  <si>
    <t>Matched Entries</t>
  </si>
  <si>
    <t>📊 Category-Wise Expense Summary</t>
  </si>
  <si>
    <t>Transaction_Count</t>
  </si>
  <si>
    <t>Total_Amount</t>
  </si>
  <si>
    <t>Avg_Amount</t>
  </si>
  <si>
    <t>% of Total</t>
  </si>
  <si>
    <t>🏆 Highest Expense Category Analysis</t>
  </si>
  <si>
    <t>Highest Expense Category:</t>
  </si>
  <si>
    <t>Total Amount:</t>
  </si>
  <si>
    <t>% of Total Expenses:</t>
  </si>
  <si>
    <t>• Total Amount: Color scale (Red=Low, Yellow=Mid, Green=High)</t>
  </si>
  <si>
    <t>• Transaction Count: Blue data bars showing relative counts</t>
  </si>
  <si>
    <t>• % of Total: Arrow icons (↑ High, → Mid, ↓ Low)</t>
  </si>
  <si>
    <t>• Highest Expense Category: Highlighted in yellow</t>
  </si>
  <si>
    <t>📊 Monthly Expense Report</t>
  </si>
  <si>
    <t>📅 Monthly Expense Summary</t>
  </si>
  <si>
    <t>Month</t>
  </si>
  <si>
    <t>Min_Amount</t>
  </si>
  <si>
    <t>Max_Amount</t>
  </si>
  <si>
    <t>📁 Category-Wise Expense Summary</t>
  </si>
  <si>
    <t>Transaction Count:</t>
  </si>
  <si>
    <t>Average per Transaction:</t>
  </si>
  <si>
    <t>📊 Monthly Category Breakdown</t>
  </si>
  <si>
    <t>Jan Count</t>
  </si>
  <si>
    <t>Jan Amount</t>
  </si>
  <si>
    <t>Feb Count</t>
  </si>
  <si>
    <t>Feb Amount</t>
  </si>
  <si>
    <t>Total</t>
  </si>
  <si>
    <t>TOTAL</t>
  </si>
  <si>
    <t>• Total Amount (Category): Color scale (Red=Low → Yellow=Mid → Green=High)</t>
  </si>
  <si>
    <t>• Highest Category Row: Yellow highlight with bold text</t>
  </si>
  <si>
    <t>• Monthly Amounts: Orange scale for Jan, Blue scale for Feb</t>
  </si>
  <si>
    <t>Stock_Status</t>
  </si>
  <si>
    <t>📦 Inventory Summary Report</t>
  </si>
  <si>
    <t>📊 Overall Inventory Summary</t>
  </si>
  <si>
    <t>Total Items</t>
  </si>
  <si>
    <t>Total Stock Available</t>
  </si>
  <si>
    <t>Average Stock per Item</t>
  </si>
  <si>
    <t>Low Stock Items (⚠️)</t>
  </si>
  <si>
    <t>OK Items (✓)</t>
  </si>
  <si>
    <t>Low Stock %</t>
  </si>
  <si>
    <t>Min Stock Level</t>
  </si>
  <si>
    <t>Max Stock Level</t>
  </si>
  <si>
    <t>📋 Supplier-wise Inventory Summary</t>
  </si>
  <si>
    <t>Total Stock</t>
  </si>
  <si>
    <t>Low Stock Items</t>
  </si>
  <si>
    <t>% Low Stock</t>
  </si>
  <si>
    <t>⚠️ Low Stock Items - Reorder Required</t>
  </si>
  <si>
    <t>Shortage</t>
  </si>
  <si>
    <t>• Low Stock Items Count: Red data bars showing relative counts</t>
  </si>
  <si>
    <t>• % Low Stock: Color scale (Green=Low → Yellow=Mid → Red=High)</t>
  </si>
  <si>
    <t>• Shortage Column: Red highlight for negative values</t>
  </si>
  <si>
    <t>• Stock Available: Color scale showing stock levels</t>
  </si>
  <si>
    <t>Followup_Status</t>
  </si>
  <si>
    <t>Days_Overdue</t>
  </si>
  <si>
    <t>Priority</t>
  </si>
  <si>
    <t>📊 Client Status Summary Report</t>
  </si>
  <si>
    <t>📋 Status-wise Client Summary</t>
  </si>
  <si>
    <t>Client_Count</t>
  </si>
  <si>
    <t>Avg_Days_Overdue</t>
  </si>
  <si>
    <t>Min_Days_Overdue</t>
  </si>
  <si>
    <t>Max_Days_Overdue</t>
  </si>
  <si>
    <t>🚨 Priority Breakdown by Status</t>
  </si>
  <si>
    <t>🔴 Critical (60+ days)</t>
  </si>
  <si>
    <t>🟠 High (30-59 days)</t>
  </si>
  <si>
    <t>🟡 Medium (7-29 days)</t>
  </si>
  <si>
    <t>🟢 Low (&lt;7 days)</t>
  </si>
  <si>
    <t>💡 Key Insights</t>
  </si>
  <si>
    <t>Most Common Status:</t>
  </si>
  <si>
    <t>Active Clients (Non-Closed):</t>
  </si>
  <si>
    <t>Closed Deals:</t>
  </si>
  <si>
    <t>Total Critical Priority:</t>
  </si>
  <si>
    <t>Total High Priority:</t>
  </si>
  <si>
    <t>• Client Count: Blue data bars showing relative counts</t>
  </si>
  <si>
    <t>• Critical Priority: Red highlight for values &gt; 0</t>
  </si>
  <si>
    <t>• High Priority: Orange highlight for values &gt; 0</t>
  </si>
  <si>
    <t>• Status Rows: Color-coded by status type</t>
  </si>
  <si>
    <t>📊 Budget vs Actual - Variance Report</t>
  </si>
  <si>
    <t>Variance</t>
  </si>
  <si>
    <t>Variance %</t>
  </si>
  <si>
    <t>Departments Under Budget (Savings):</t>
  </si>
  <si>
    <t>Departments Over Budget:</t>
  </si>
  <si>
    <t>Total Variance:</t>
  </si>
  <si>
    <t>Largest Over Budget:</t>
  </si>
  <si>
    <t>Largest Under Budget:</t>
  </si>
  <si>
    <t>📌 Conditional Formatting Legend:</t>
  </si>
  <si>
    <t>🟢 Green = Under Budget (Negative Variance - Savings)</t>
  </si>
  <si>
    <t>🔴 Red = Over Budget (Positive Variance - Overspending)</t>
  </si>
  <si>
    <t>📊 Blue bars = Budget amounts | Green bars = Actual amounts</t>
  </si>
  <si>
    <t>📊 SALES DASHBOARD</t>
  </si>
  <si>
    <t>Regional &amp; Product Performance Analysis</t>
  </si>
  <si>
    <t>📈 KEY METRICS</t>
  </si>
  <si>
    <t>Total Sales</t>
  </si>
  <si>
    <t>Total Transactions</t>
  </si>
  <si>
    <t>Average Sale</t>
  </si>
  <si>
    <t>Top Region</t>
  </si>
  <si>
    <t>Top Product</t>
  </si>
  <si>
    <t>🌍 REGION-WISE SALES SUMMARY</t>
  </si>
  <si>
    <t>Transactions</t>
  </si>
  <si>
    <t>Avg Sale</t>
  </si>
  <si>
    <t>📦 PRODUCT-WISE SALES SUMMARY</t>
  </si>
  <si>
    <t>📅 MONTHLY SALES TREND</t>
  </si>
  <si>
    <t>📊 REGION × PRODUCT SALES MATRIX</t>
  </si>
  <si>
    <t>Region \ Product</t>
  </si>
  <si>
    <t>📌 DASHBOARD NOTES</t>
  </si>
  <si>
    <t>• All data is sourced from Sales_Data worksheet with 400 transactions</t>
  </si>
  <si>
    <t>• Color scales: 🔴 Red = Low | 🟡 Yellow = Medium | 🟢 Green = High</t>
  </si>
  <si>
    <t>• Dashboard updates automatically when Sales_Data is modified</t>
  </si>
  <si>
    <t>• Generated: 29 Mar 2026</t>
  </si>
  <si>
    <t>📊 Sales Pivot Summary - Region × Product Analysis</t>
  </si>
  <si>
    <t>📋 Total Sales by Region and Product</t>
  </si>
  <si>
    <t>Grand Total</t>
  </si>
  <si>
    <t>📊 Transaction Count by Region and Product</t>
  </si>
  <si>
    <t>📈 Sales Percentage Distribution (% of Grand Total)</t>
  </si>
  <si>
    <t>Region %</t>
  </si>
  <si>
    <t>Product %</t>
  </si>
  <si>
    <t>Top Performing Region:</t>
  </si>
  <si>
    <t>Top Performing Product:</t>
  </si>
  <si>
    <t>Grand Total Sales:</t>
  </si>
  <si>
    <t>Total Transactions:</t>
  </si>
  <si>
    <t>Average Sale per Transaction:</t>
  </si>
  <si>
    <t>Highest Region-Product Combo:</t>
  </si>
  <si>
    <t>• Sales Matrix (B7:E10): Color scale (Red=Low → Yellow=Mid → Green=High)</t>
  </si>
  <si>
    <t>• Transaction Count (B17:E20): Color scale (Red=Low → Yellow=Mid → Green=High)</t>
  </si>
  <si>
    <t>• Region Totals (F7:F10): Blue data bars</t>
  </si>
  <si>
    <t>• Product Totals (B11:E11): Green data bars</t>
  </si>
  <si>
    <t>🏆 Top Performance Analysis - Sales Data</t>
  </si>
  <si>
    <t>Identifying Top Performing Product and Region</t>
  </si>
  <si>
    <t>🌍 Region-wise Sales Analysis</t>
  </si>
  <si>
    <t>📦 Product-wise Sales Analysis</t>
  </si>
  <si>
    <t>🏆 TOP PERFORMERS</t>
  </si>
  <si>
    <t>🥇 TOP REGION</t>
  </si>
  <si>
    <t>Total Sales:</t>
  </si>
  <si>
    <t>Transactions:</t>
  </si>
  <si>
    <t>% of Total:</t>
  </si>
  <si>
    <t>🥇 TOP PRODUCT</t>
  </si>
  <si>
    <t>💡 Additional Insights</t>
  </si>
  <si>
    <t>Average Sale Amount:</t>
  </si>
  <si>
    <t>Lowest Performing Region:</t>
  </si>
  <si>
    <t>Lowest Performing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</si>
</sst>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yyyy/mm/dd"/>
    <numFmt numFmtId="166" formatCode="0.0%"/>
    <numFmt numFmtId="167" formatCode="\₹#,##0"/>
    <numFmt numFmtId="168" formatCode="\₹#,##0.00"/>
    <numFmt numFmtId="169" formatCode="0.0"/>
    <numFmt numFmtId="170" formatCode="0.0%;[Red]\-0.0%"/>
  </numFmts>
  <fonts count="36" x14ac:knownFonts="1">
    <font>
      <sz val="11"/>
      <color theme="1"/>
      <name val="Calibri"/>
      <family val="2"/>
      <scheme val="minor"/>
    </font>
    <font>
      <b/>
      <sz val="11"/>
      <color theme="1"/>
      <name val="Calibri"/>
      <family val="2"/>
      <scheme val="minor"/>
    </font>
    <font>
      <b/>
      <sz val="11"/>
      <color rgb="FFFFFF00"/>
      <name val="Calibri"/>
      <family val="2"/>
      <scheme val="minor"/>
    </font>
    <font>
      <b/>
      <sz val="12"/>
      <color theme="1"/>
      <name val="Calibri"/>
      <family val="2"/>
      <scheme val="minor"/>
    </font>
    <font>
      <b/>
      <sz val="12"/>
      <color rgb="FFFFFFFF"/>
      <name val="Calibri"/>
      <family val="2"/>
      <scheme val="minor"/>
    </font>
    <font>
      <u/>
      <sz val="11"/>
      <color theme="10"/>
      <name val="Calibri"/>
      <family val="2"/>
      <scheme val="minor"/>
    </font>
    <font>
      <b/>
      <sz val="16"/>
      <color rgb="FF1F4E79"/>
      <name val="Calibri"/>
      <family val="2"/>
      <scheme val="minor"/>
    </font>
    <font>
      <b/>
      <sz val="11"/>
      <color rgb="FFFFFFFF"/>
      <name val="Calibri"/>
      <family val="2"/>
      <scheme val="minor"/>
    </font>
    <font>
      <i/>
      <sz val="11"/>
      <color theme="1"/>
      <name val="Calibri"/>
      <family val="2"/>
      <scheme val="minor"/>
    </font>
    <font>
      <i/>
      <sz val="11"/>
      <color rgb="FF666666"/>
      <name val="Calibri"/>
      <family val="2"/>
      <scheme val="minor"/>
    </font>
    <font>
      <b/>
      <sz val="11"/>
      <color rgb="FF1F4E79"/>
      <name val="Calibri"/>
      <family val="2"/>
      <scheme val="minor"/>
    </font>
    <font>
      <b/>
      <sz val="11"/>
      <color rgb="FF2E75B6"/>
      <name val="Calibri"/>
      <family val="2"/>
      <scheme val="minor"/>
    </font>
    <font>
      <b/>
      <sz val="18"/>
      <color theme="1"/>
      <name val="Calibri"/>
      <family val="2"/>
      <scheme val="minor"/>
    </font>
    <font>
      <b/>
      <sz val="13.5"/>
      <color theme="1"/>
      <name val="Calibri"/>
      <family val="2"/>
      <scheme val="minor"/>
    </font>
    <font>
      <b/>
      <sz val="14"/>
      <color rgb="FF2E75B6"/>
      <name val="Calibri"/>
      <family val="2"/>
      <scheme val="minor"/>
    </font>
    <font>
      <b/>
      <sz val="14"/>
      <color rgb="FF1F4E79"/>
      <name val="Calibri"/>
      <family val="2"/>
      <scheme val="minor"/>
    </font>
    <font>
      <b/>
      <sz val="14"/>
      <color rgb="FFC00000"/>
      <name val="Calibri"/>
      <family val="2"/>
      <scheme val="minor"/>
    </font>
    <font>
      <b/>
      <sz val="12"/>
      <color rgb="FF1F4E79"/>
      <name val="Calibri"/>
      <family val="2"/>
      <scheme val="minor"/>
    </font>
    <font>
      <b/>
      <sz val="11"/>
      <color rgb="FFC00000"/>
      <name val="Calibri"/>
      <family val="2"/>
      <scheme val="minor"/>
    </font>
    <font>
      <b/>
      <sz val="12"/>
      <color rgb="FFC00000"/>
      <name val="Calibri"/>
      <family val="2"/>
      <scheme val="minor"/>
    </font>
    <font>
      <b/>
      <sz val="14"/>
      <color rgb="FFFFFFFF"/>
      <name val="Calibri"/>
      <family val="2"/>
      <scheme val="minor"/>
    </font>
    <font>
      <b/>
      <sz val="11"/>
      <color rgb="FF375623"/>
      <name val="Calibri"/>
      <family val="2"/>
      <scheme val="minor"/>
    </font>
    <font>
      <b/>
      <sz val="18"/>
      <color rgb="FF1F4E79"/>
      <name val="Calibri"/>
      <family val="2"/>
      <scheme val="minor"/>
    </font>
    <font>
      <b/>
      <sz val="12"/>
      <color rgb="FF2E75B6"/>
      <name val="Calibri"/>
      <family val="2"/>
      <scheme val="minor"/>
    </font>
    <font>
      <b/>
      <sz val="24"/>
      <color rgb="FF1F4E79"/>
      <name val="Calibri"/>
      <family val="2"/>
      <scheme val="minor"/>
    </font>
    <font>
      <i/>
      <sz val="12"/>
      <color rgb="FF5B9BD5"/>
      <name val="Calibri"/>
      <family val="2"/>
      <scheme val="minor"/>
    </font>
    <font>
      <b/>
      <sz val="16"/>
      <color rgb="FF2E75B6"/>
      <name val="Calibri"/>
      <family val="2"/>
      <scheme val="minor"/>
    </font>
    <font>
      <b/>
      <sz val="13"/>
      <color rgb="FF1F4E79"/>
      <name val="Calibri"/>
      <family val="2"/>
      <scheme val="minor"/>
    </font>
    <font>
      <sz val="10"/>
      <color rgb="FF595959"/>
      <name val="Calibri"/>
      <family val="2"/>
      <scheme val="minor"/>
    </font>
    <font>
      <b/>
      <sz val="14"/>
      <color rgb="FF548235"/>
      <name val="Calibri"/>
      <family val="2"/>
      <scheme val="minor"/>
    </font>
    <font>
      <b/>
      <sz val="16"/>
      <color rgb="FFC65911"/>
      <name val="Calibri"/>
      <family val="2"/>
      <scheme val="minor"/>
    </font>
    <font>
      <b/>
      <sz val="20"/>
      <color rgb="FF1F4E79"/>
      <name val="Calibri"/>
      <family val="2"/>
      <scheme val="minor"/>
    </font>
    <font>
      <b/>
      <sz val="20"/>
      <color rgb="FF375623"/>
      <name val="Calibri"/>
      <family val="2"/>
      <scheme val="minor"/>
    </font>
    <font>
      <b/>
      <sz val="12"/>
      <color rgb="FF548235"/>
      <name val="Calibri"/>
      <family val="2"/>
      <scheme val="minor"/>
    </font>
    <font>
      <b/>
      <sz val="11"/>
      <color rgb="FF548235"/>
      <name val="Calibri"/>
      <family val="2"/>
      <scheme val="minor"/>
    </font>
    <font>
      <b/>
      <sz val="14"/>
      <color rgb="FF7030A0"/>
      <name val="Calibri"/>
      <family val="2"/>
      <scheme val="minor"/>
    </font>
  </fonts>
  <fills count="26">
    <fill>
      <patternFill patternType="none"/>
    </fill>
    <fill>
      <patternFill patternType="gray125"/>
    </fill>
    <fill>
      <patternFill patternType="solid">
        <fgColor theme="4" tint="-0.249977111117893"/>
        <bgColor indexed="64"/>
      </patternFill>
    </fill>
    <fill>
      <patternFill patternType="solid">
        <fgColor rgb="FF4472C4"/>
        <bgColor indexed="64"/>
      </patternFill>
    </fill>
    <fill>
      <patternFill patternType="solid">
        <fgColor rgb="FFD6EAF8"/>
        <bgColor indexed="64"/>
      </patternFill>
    </fill>
    <fill>
      <patternFill patternType="solid">
        <fgColor rgb="FF2E75B6"/>
        <bgColor indexed="64"/>
      </patternFill>
    </fill>
    <fill>
      <patternFill patternType="solid">
        <fgColor rgb="FFEBF5FB"/>
        <bgColor indexed="64"/>
      </patternFill>
    </fill>
    <fill>
      <patternFill patternType="solid">
        <fgColor rgb="FFFFF2CC"/>
        <bgColor indexed="64"/>
      </patternFill>
    </fill>
    <fill>
      <patternFill patternType="solid">
        <fgColor rgb="FFE2EFDA"/>
        <bgColor indexed="64"/>
      </patternFill>
    </fill>
    <fill>
      <patternFill patternType="solid">
        <fgColor rgb="FFD6DCE4"/>
        <bgColor indexed="64"/>
      </patternFill>
    </fill>
    <fill>
      <patternFill patternType="solid">
        <fgColor rgb="FFDDEBF7"/>
        <bgColor indexed="64"/>
      </patternFill>
    </fill>
    <fill>
      <patternFill patternType="solid">
        <fgColor rgb="FFD6DCE5"/>
        <bgColor indexed="64"/>
      </patternFill>
    </fill>
    <fill>
      <patternFill patternType="solid">
        <fgColor rgb="FF548235"/>
        <bgColor indexed="64"/>
      </patternFill>
    </fill>
    <fill>
      <patternFill patternType="solid">
        <fgColor rgb="FFFCE4D6"/>
        <bgColor indexed="64"/>
      </patternFill>
    </fill>
    <fill>
      <patternFill patternType="solid">
        <fgColor rgb="FFC00000"/>
        <bgColor indexed="64"/>
      </patternFill>
    </fill>
    <fill>
      <patternFill patternType="solid">
        <fgColor rgb="FF1F4E79"/>
        <bgColor indexed="64"/>
      </patternFill>
    </fill>
    <fill>
      <patternFill patternType="solid">
        <fgColor rgb="FFDEEBF7"/>
        <bgColor indexed="64"/>
      </patternFill>
    </fill>
    <fill>
      <patternFill patternType="solid">
        <fgColor rgb="FF375623"/>
        <bgColor indexed="64"/>
      </patternFill>
    </fill>
    <fill>
      <patternFill patternType="solid">
        <fgColor rgb="FFD9E2F3"/>
        <bgColor indexed="64"/>
      </patternFill>
    </fill>
    <fill>
      <patternFill patternType="solid">
        <fgColor rgb="FFE4DFEC"/>
        <bgColor indexed="64"/>
      </patternFill>
    </fill>
    <fill>
      <patternFill patternType="solid">
        <fgColor rgb="FFF2F2F2"/>
        <bgColor indexed="64"/>
      </patternFill>
    </fill>
    <fill>
      <patternFill patternType="solid">
        <fgColor rgb="FF7030A0"/>
        <bgColor indexed="64"/>
      </patternFill>
    </fill>
    <fill>
      <patternFill patternType="solid">
        <fgColor rgb="FFE2D4ED"/>
        <bgColor indexed="64"/>
      </patternFill>
    </fill>
    <fill>
      <patternFill patternType="solid">
        <fgColor rgb="FFC65911"/>
        <bgColor indexed="64"/>
      </patternFill>
    </fill>
    <fill>
      <patternFill patternType="solid">
        <fgColor rgb="FF538135"/>
        <bgColor indexed="64"/>
      </patternFill>
    </fill>
    <fill>
      <patternFill patternType="solid">
        <fgColor rgb="FFEDEDED"/>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4472C4"/>
      </bottom>
      <diagonal/>
    </border>
    <border>
      <left style="thin">
        <color rgb="FF4472C4"/>
      </left>
      <right style="thin">
        <color rgb="FFD9D9D9"/>
      </right>
      <top style="thin">
        <color rgb="FFD9D9D9"/>
      </top>
      <bottom style="thin">
        <color rgb="FFD9D9D9"/>
      </bottom>
      <diagonal/>
    </border>
    <border>
      <left style="thin">
        <color rgb="FF4472C4"/>
      </left>
      <right style="thin">
        <color rgb="FFD9D9D9"/>
      </right>
      <top style="thin">
        <color rgb="FFD9D9D9"/>
      </top>
      <bottom style="thin">
        <color rgb="FF4472C4"/>
      </bottom>
      <diagonal/>
    </border>
    <border>
      <left style="thin">
        <color rgb="FFD9D9D9"/>
      </left>
      <right style="thin">
        <color rgb="FF4472C4"/>
      </right>
      <top style="thin">
        <color rgb="FFD9D9D9"/>
      </top>
      <bottom style="thin">
        <color rgb="FFD9D9D9"/>
      </bottom>
      <diagonal/>
    </border>
    <border>
      <left style="thin">
        <color rgb="FFD9D9D9"/>
      </left>
      <right style="thin">
        <color rgb="FF4472C4"/>
      </right>
      <top style="thin">
        <color rgb="FFD9D9D9"/>
      </top>
      <bottom style="thin">
        <color rgb="FF4472C4"/>
      </bottom>
      <diagonal/>
    </border>
    <border>
      <left style="thin">
        <color rgb="FF4472C4"/>
      </left>
      <right style="thin">
        <color rgb="FFD9D9D9"/>
      </right>
      <top/>
      <bottom style="thin">
        <color rgb="FFD9D9D9"/>
      </bottom>
      <diagonal/>
    </border>
    <border>
      <left style="thin">
        <color rgb="FFD9D9D9"/>
      </left>
      <right style="thin">
        <color rgb="FF4472C4"/>
      </right>
      <top/>
      <bottom style="thin">
        <color rgb="FFD9D9D9"/>
      </bottom>
      <diagonal/>
    </border>
    <border>
      <left style="thin">
        <color rgb="FF4472C4"/>
      </left>
      <right style="thin">
        <color rgb="FFD9D9D9"/>
      </right>
      <top style="thin">
        <color rgb="FF4472C4"/>
      </top>
      <bottom style="medium">
        <color rgb="FF2F5496"/>
      </bottom>
      <diagonal/>
    </border>
    <border>
      <left style="thin">
        <color rgb="FFD9D9D9"/>
      </left>
      <right style="thin">
        <color rgb="FFD9D9D9"/>
      </right>
      <top style="thin">
        <color rgb="FF4472C4"/>
      </top>
      <bottom style="medium">
        <color rgb="FF2F5496"/>
      </bottom>
      <diagonal/>
    </border>
    <border>
      <left style="thin">
        <color rgb="FFD9D9D9"/>
      </left>
      <right style="thin">
        <color rgb="FF4472C4"/>
      </right>
      <top style="thin">
        <color rgb="FF4472C4"/>
      </top>
      <bottom style="medium">
        <color rgb="FF2F5496"/>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s>
  <cellStyleXfs count="2">
    <xf numFmtId="0" fontId="0" fillId="0" borderId="0"/>
    <xf numFmtId="0" fontId="5" fillId="0" borderId="0" applyNumberFormat="0" applyFill="0" applyBorder="0" applyAlignment="0" applyProtection="0"/>
  </cellStyleXfs>
  <cellXfs count="197">
    <xf numFmtId="0" fontId="0" fillId="0" borderId="0" xfId="0"/>
    <xf numFmtId="164" fontId="0" fillId="0" borderId="0" xfId="0" applyNumberFormat="1"/>
    <xf numFmtId="0" fontId="1" fillId="0" borderId="0" xfId="0" applyFont="1" applyAlignment="1">
      <alignment horizontal="center" vertical="center"/>
    </xf>
    <xf numFmtId="0" fontId="0" fillId="0" borderId="0" xfId="0"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0" borderId="1" xfId="0" applyBorder="1"/>
    <xf numFmtId="0" fontId="2" fillId="2" borderId="1" xfId="0" applyFont="1" applyFill="1" applyBorder="1" applyAlignment="1">
      <alignment horizontal="center"/>
    </xf>
    <xf numFmtId="0" fontId="1" fillId="0" borderId="0" xfId="0" applyFont="1"/>
    <xf numFmtId="0" fontId="3" fillId="0" borderId="0" xfId="0" applyFont="1"/>
    <xf numFmtId="0" fontId="4" fillId="3" borderId="0" xfId="0" applyFont="1" applyFill="1"/>
    <xf numFmtId="0" fontId="6" fillId="0" borderId="0" xfId="0" applyFont="1"/>
    <xf numFmtId="0" fontId="7" fillId="3" borderId="0" xfId="0" applyFont="1" applyFill="1"/>
    <xf numFmtId="0" fontId="10" fillId="0" borderId="0" xfId="0" applyFont="1"/>
    <xf numFmtId="0" fontId="7" fillId="5" borderId="0" xfId="0" applyFont="1" applyFill="1"/>
    <xf numFmtId="0" fontId="7" fillId="5" borderId="1" xfId="0" applyFont="1" applyFill="1" applyBorder="1"/>
    <xf numFmtId="0" fontId="0" fillId="6" borderId="1" xfId="0" applyFill="1" applyBorder="1"/>
    <xf numFmtId="0" fontId="5" fillId="6" borderId="1" xfId="1" applyFill="1" applyBorder="1"/>
    <xf numFmtId="0" fontId="0" fillId="0" borderId="0" xfId="0" quotePrefix="1"/>
    <xf numFmtId="0" fontId="5" fillId="0" borderId="1" xfId="1" applyBorder="1"/>
    <xf numFmtId="0" fontId="12" fillId="0" borderId="0" xfId="0" applyFont="1" applyAlignment="1">
      <alignment vertical="center"/>
    </xf>
    <xf numFmtId="0" fontId="13" fillId="0" borderId="0" xfId="0" applyFont="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0" fillId="0" borderId="0" xfId="0" applyAlignment="1">
      <alignment horizontal="left" vertical="center"/>
    </xf>
    <xf numFmtId="0" fontId="1" fillId="0" borderId="0" xfId="0" applyFont="1" applyAlignment="1">
      <alignment horizontal="left" vertical="center"/>
    </xf>
    <xf numFmtId="0" fontId="0" fillId="0" borderId="1" xfId="0" applyBorder="1" applyAlignment="1">
      <alignment horizontal="center" vertical="center" wrapText="1"/>
    </xf>
    <xf numFmtId="4" fontId="0" fillId="0" borderId="1" xfId="0" applyNumberFormat="1" applyBorder="1"/>
    <xf numFmtId="0" fontId="0" fillId="0" borderId="0" xfId="0" applyAlignment="1">
      <alignment wrapText="1"/>
    </xf>
    <xf numFmtId="0" fontId="7" fillId="3" borderId="1" xfId="0" applyFont="1" applyFill="1" applyBorder="1"/>
    <xf numFmtId="164" fontId="0" fillId="0" borderId="1" xfId="0" applyNumberFormat="1" applyBorder="1"/>
    <xf numFmtId="0" fontId="0" fillId="0" borderId="1" xfId="0" applyBorder="1" applyAlignment="1">
      <alignment wrapText="1"/>
    </xf>
    <xf numFmtId="0" fontId="7" fillId="3" borderId="1" xfId="0" applyFont="1" applyFill="1" applyBorder="1" applyAlignment="1">
      <alignment wrapText="1"/>
    </xf>
    <xf numFmtId="3" fontId="0" fillId="0" borderId="1" xfId="0" applyNumberFormat="1" applyBorder="1"/>
    <xf numFmtId="0" fontId="14" fillId="0" borderId="0" xfId="0" applyFont="1"/>
    <xf numFmtId="3" fontId="0" fillId="0" borderId="0" xfId="0" applyNumberFormat="1"/>
    <xf numFmtId="0" fontId="7" fillId="5" borderId="1" xfId="0" applyFont="1" applyFill="1" applyBorder="1" applyAlignment="1">
      <alignment horizontal="center"/>
    </xf>
    <xf numFmtId="0" fontId="1" fillId="9" borderId="1" xfId="0" applyFont="1" applyFill="1" applyBorder="1"/>
    <xf numFmtId="3" fontId="1" fillId="9" borderId="1" xfId="0" applyNumberFormat="1" applyFont="1" applyFill="1" applyBorder="1"/>
    <xf numFmtId="0" fontId="0" fillId="10" borderId="1" xfId="0" applyFill="1" applyBorder="1"/>
    <xf numFmtId="3" fontId="0" fillId="10" borderId="1" xfId="0" applyNumberFormat="1" applyFill="1" applyBorder="1"/>
    <xf numFmtId="0" fontId="8" fillId="0" borderId="0" xfId="0" applyFont="1"/>
    <xf numFmtId="0" fontId="1" fillId="11" borderId="0" xfId="0" applyFont="1" applyFill="1"/>
    <xf numFmtId="0" fontId="4" fillId="12" borderId="0" xfId="0" applyFont="1" applyFill="1"/>
    <xf numFmtId="165" fontId="0" fillId="0" borderId="0" xfId="0" applyNumberFormat="1"/>
    <xf numFmtId="0" fontId="15" fillId="0" borderId="0" xfId="0" applyFont="1"/>
    <xf numFmtId="0" fontId="16" fillId="0" borderId="0" xfId="0" applyFont="1"/>
    <xf numFmtId="3" fontId="1" fillId="0" borderId="0" xfId="0" applyNumberFormat="1" applyFont="1"/>
    <xf numFmtId="0" fontId="17" fillId="0" borderId="0" xfId="0" applyFont="1"/>
    <xf numFmtId="0" fontId="19" fillId="13" borderId="0" xfId="0" applyFont="1" applyFill="1"/>
    <xf numFmtId="0" fontId="0" fillId="13" borderId="0" xfId="0" applyFill="1"/>
    <xf numFmtId="0" fontId="7" fillId="14" borderId="0" xfId="0" applyFont="1" applyFill="1"/>
    <xf numFmtId="0" fontId="17" fillId="10" borderId="0" xfId="0" applyFont="1" applyFill="1"/>
    <xf numFmtId="0" fontId="0" fillId="10" borderId="0" xfId="0" applyFill="1"/>
    <xf numFmtId="0" fontId="7" fillId="15" borderId="0" xfId="0" applyFont="1" applyFill="1"/>
    <xf numFmtId="0" fontId="0" fillId="5" borderId="0" xfId="0" applyFill="1"/>
    <xf numFmtId="0" fontId="20" fillId="5" borderId="0" xfId="0" applyFont="1" applyFill="1"/>
    <xf numFmtId="0" fontId="18" fillId="0" borderId="0" xfId="0" applyFont="1"/>
    <xf numFmtId="0" fontId="21" fillId="0" borderId="0" xfId="0" applyFont="1"/>
    <xf numFmtId="0" fontId="1" fillId="7" borderId="0" xfId="0" applyFont="1" applyFill="1"/>
    <xf numFmtId="3" fontId="1" fillId="7" borderId="0" xfId="0" applyNumberFormat="1" applyFont="1" applyFill="1"/>
    <xf numFmtId="166" fontId="0" fillId="0" borderId="1" xfId="0" applyNumberFormat="1" applyBorder="1"/>
    <xf numFmtId="4" fontId="1" fillId="9" borderId="1" xfId="0" applyNumberFormat="1" applyFont="1" applyFill="1" applyBorder="1"/>
    <xf numFmtId="166" fontId="1" fillId="9" borderId="1" xfId="0" applyNumberFormat="1" applyFont="1" applyFill="1" applyBorder="1"/>
    <xf numFmtId="0" fontId="0" fillId="16" borderId="1" xfId="0" applyFill="1" applyBorder="1"/>
    <xf numFmtId="3" fontId="0" fillId="16" borderId="1" xfId="0" applyNumberFormat="1" applyFill="1" applyBorder="1"/>
    <xf numFmtId="4" fontId="0" fillId="16" borderId="1" xfId="0" applyNumberFormat="1" applyFill="1" applyBorder="1"/>
    <xf numFmtId="166" fontId="0" fillId="16" borderId="1" xfId="0" applyNumberFormat="1" applyFill="1" applyBorder="1"/>
    <xf numFmtId="167" fontId="18" fillId="0" borderId="0" xfId="0" applyNumberFormat="1" applyFont="1"/>
    <xf numFmtId="166" fontId="18" fillId="0" borderId="0" xfId="0" applyNumberFormat="1" applyFont="1"/>
    <xf numFmtId="0" fontId="7" fillId="15" borderId="1" xfId="0" applyFont="1" applyFill="1" applyBorder="1" applyAlignment="1">
      <alignment horizontal="center"/>
    </xf>
    <xf numFmtId="17" fontId="0" fillId="0" borderId="1" xfId="0" applyNumberFormat="1" applyBorder="1"/>
    <xf numFmtId="0" fontId="1" fillId="7" borderId="2" xfId="0" applyFont="1" applyFill="1" applyBorder="1"/>
    <xf numFmtId="0" fontId="1" fillId="7" borderId="3" xfId="0" applyFont="1" applyFill="1" applyBorder="1"/>
    <xf numFmtId="0" fontId="1" fillId="7" borderId="4" xfId="0" applyFont="1" applyFill="1" applyBorder="1"/>
    <xf numFmtId="0" fontId="19" fillId="7" borderId="5" xfId="0" applyFont="1" applyFill="1" applyBorder="1"/>
    <xf numFmtId="167" fontId="0" fillId="7" borderId="6" xfId="0" applyNumberFormat="1" applyFill="1" applyBorder="1"/>
    <xf numFmtId="0" fontId="0" fillId="7" borderId="6" xfId="0" applyFill="1" applyBorder="1"/>
    <xf numFmtId="166" fontId="0" fillId="7" borderId="6" xfId="0" applyNumberFormat="1" applyFill="1" applyBorder="1"/>
    <xf numFmtId="168" fontId="0" fillId="7" borderId="7" xfId="0" applyNumberFormat="1" applyFill="1" applyBorder="1"/>
    <xf numFmtId="0" fontId="7" fillId="17" borderId="1" xfId="0" applyFont="1" applyFill="1" applyBorder="1" applyAlignment="1">
      <alignment horizontal="center"/>
    </xf>
    <xf numFmtId="0" fontId="0" fillId="0" borderId="1" xfId="0" applyBorder="1" applyAlignment="1">
      <alignment horizontal="center"/>
    </xf>
    <xf numFmtId="2" fontId="0" fillId="0" borderId="1" xfId="0" applyNumberFormat="1" applyBorder="1" applyAlignment="1">
      <alignment horizontal="center"/>
    </xf>
    <xf numFmtId="166" fontId="0" fillId="0" borderId="1" xfId="0" applyNumberFormat="1" applyBorder="1" applyAlignment="1">
      <alignment horizontal="center"/>
    </xf>
    <xf numFmtId="0" fontId="1" fillId="18" borderId="1" xfId="0" applyFont="1" applyFill="1" applyBorder="1"/>
    <xf numFmtId="0" fontId="1" fillId="18" borderId="1" xfId="0" applyFont="1" applyFill="1" applyBorder="1" applyAlignment="1">
      <alignment horizontal="center"/>
    </xf>
    <xf numFmtId="166" fontId="1" fillId="18" borderId="1" xfId="0" applyNumberFormat="1" applyFont="1" applyFill="1" applyBorder="1"/>
    <xf numFmtId="0" fontId="7" fillId="14" borderId="1" xfId="0" applyFont="1" applyFill="1" applyBorder="1" applyAlignment="1">
      <alignment horizontal="center"/>
    </xf>
    <xf numFmtId="0" fontId="0" fillId="7" borderId="1" xfId="0" applyFill="1" applyBorder="1" applyAlignment="1">
      <alignment horizontal="center"/>
    </xf>
    <xf numFmtId="0" fontId="0" fillId="0" borderId="8" xfId="0" applyBorder="1"/>
    <xf numFmtId="0" fontId="0" fillId="0" borderId="9" xfId="0" applyBorder="1"/>
    <xf numFmtId="164" fontId="0" fillId="0" borderId="9" xfId="0" applyNumberFormat="1" applyBorder="1"/>
    <xf numFmtId="0" fontId="0" fillId="0" borderId="9" xfId="0" applyBorder="1" applyAlignment="1">
      <alignment horizontal="center"/>
    </xf>
    <xf numFmtId="0" fontId="0" fillId="0" borderId="10" xfId="0" applyBorder="1"/>
    <xf numFmtId="164" fontId="0" fillId="0" borderId="10" xfId="0" applyNumberFormat="1" applyBorder="1"/>
    <xf numFmtId="0" fontId="0" fillId="0" borderId="10" xfId="0" applyBorder="1" applyAlignment="1">
      <alignment horizontal="center"/>
    </xf>
    <xf numFmtId="0" fontId="0" fillId="0" borderId="11" xfId="0" applyBorder="1"/>
    <xf numFmtId="0" fontId="0" fillId="0" borderId="12" xfId="0" applyBorder="1"/>
    <xf numFmtId="0" fontId="0" fillId="0" borderId="13" xfId="0" applyBorder="1" applyAlignment="1">
      <alignment horizontal="center"/>
    </xf>
    <xf numFmtId="0" fontId="0" fillId="0" borderId="14" xfId="0" applyBorder="1" applyAlignment="1">
      <alignment horizontal="center"/>
    </xf>
    <xf numFmtId="0" fontId="0" fillId="0" borderId="15" xfId="0" applyBorder="1"/>
    <xf numFmtId="164" fontId="0" fillId="0" borderId="8" xfId="0" applyNumberFormat="1" applyBorder="1"/>
    <xf numFmtId="0" fontId="0" fillId="0" borderId="8" xfId="0" applyBorder="1" applyAlignment="1">
      <alignment horizontal="center"/>
    </xf>
    <xf numFmtId="0" fontId="0" fillId="0" borderId="16" xfId="0" applyBorder="1" applyAlignment="1">
      <alignment horizontal="center"/>
    </xf>
    <xf numFmtId="0" fontId="0" fillId="0" borderId="17" xfId="0" applyBorder="1"/>
    <xf numFmtId="0" fontId="0" fillId="0" borderId="18" xfId="0" applyBorder="1"/>
    <xf numFmtId="0" fontId="7" fillId="3" borderId="18" xfId="0" applyFont="1" applyFill="1" applyBorder="1"/>
    <xf numFmtId="0" fontId="7" fillId="3" borderId="19" xfId="0" applyFont="1" applyFill="1" applyBorder="1"/>
    <xf numFmtId="0" fontId="23" fillId="0" borderId="0" xfId="0" applyFont="1"/>
    <xf numFmtId="0" fontId="1" fillId="11" borderId="1" xfId="0" applyFont="1" applyFill="1" applyBorder="1"/>
    <xf numFmtId="166" fontId="1" fillId="11" borderId="1" xfId="0" applyNumberFormat="1" applyFont="1" applyFill="1" applyBorder="1"/>
    <xf numFmtId="169" fontId="1" fillId="11" borderId="1" xfId="0" applyNumberFormat="1" applyFont="1" applyFill="1" applyBorder="1"/>
    <xf numFmtId="0" fontId="0" fillId="8" borderId="1" xfId="0" applyFill="1" applyBorder="1"/>
    <xf numFmtId="166" fontId="0" fillId="8" borderId="1" xfId="0" applyNumberFormat="1" applyFill="1" applyBorder="1"/>
    <xf numFmtId="169" fontId="0" fillId="8" borderId="1" xfId="0" applyNumberFormat="1" applyFill="1" applyBorder="1"/>
    <xf numFmtId="169" fontId="0" fillId="16" borderId="1" xfId="0" applyNumberFormat="1" applyFill="1" applyBorder="1"/>
    <xf numFmtId="0" fontId="0" fillId="7" borderId="1" xfId="0" applyFill="1" applyBorder="1"/>
    <xf numFmtId="166" fontId="0" fillId="7" borderId="1" xfId="0" applyNumberFormat="1" applyFill="1" applyBorder="1"/>
    <xf numFmtId="169" fontId="0" fillId="7" borderId="1" xfId="0" applyNumberFormat="1" applyFill="1" applyBorder="1"/>
    <xf numFmtId="0" fontId="0" fillId="19" borderId="1" xfId="0" applyFill="1" applyBorder="1"/>
    <xf numFmtId="166" fontId="0" fillId="19" borderId="1" xfId="0" applyNumberFormat="1" applyFill="1" applyBorder="1"/>
    <xf numFmtId="169" fontId="0" fillId="19" borderId="1" xfId="0" applyNumberFormat="1" applyFill="1" applyBorder="1"/>
    <xf numFmtId="0" fontId="0" fillId="13" borderId="1" xfId="0" applyFill="1" applyBorder="1"/>
    <xf numFmtId="166" fontId="0" fillId="13" borderId="1" xfId="0" applyNumberFormat="1" applyFill="1" applyBorder="1"/>
    <xf numFmtId="169" fontId="0" fillId="13" borderId="1" xfId="0" applyNumberFormat="1" applyFill="1" applyBorder="1"/>
    <xf numFmtId="0" fontId="11" fillId="0" borderId="0" xfId="0" applyFont="1"/>
    <xf numFmtId="3" fontId="1" fillId="18" borderId="1" xfId="0" applyNumberFormat="1" applyFont="1" applyFill="1" applyBorder="1"/>
    <xf numFmtId="0" fontId="1" fillId="20" borderId="0" xfId="0" applyFont="1" applyFill="1"/>
    <xf numFmtId="0" fontId="0" fillId="20" borderId="0" xfId="0" applyFill="1"/>
    <xf numFmtId="38" fontId="0" fillId="0" borderId="0" xfId="0" applyNumberFormat="1"/>
    <xf numFmtId="170" fontId="0" fillId="0" borderId="0" xfId="0" applyNumberFormat="1"/>
    <xf numFmtId="0" fontId="1" fillId="11" borderId="1" xfId="0" applyFont="1" applyFill="1" applyBorder="1" applyAlignment="1">
      <alignment horizontal="center"/>
    </xf>
    <xf numFmtId="167" fontId="26" fillId="0" borderId="1" xfId="0" applyNumberFormat="1" applyFont="1" applyBorder="1" applyAlignment="1">
      <alignment horizontal="center"/>
    </xf>
    <xf numFmtId="0" fontId="26" fillId="0" borderId="1" xfId="0" applyFont="1" applyBorder="1" applyAlignment="1">
      <alignment horizontal="center"/>
    </xf>
    <xf numFmtId="0" fontId="27" fillId="0" borderId="0" xfId="0" applyFont="1"/>
    <xf numFmtId="0" fontId="7" fillId="3" borderId="1" xfId="0" applyFont="1" applyFill="1" applyBorder="1" applyAlignment="1">
      <alignment horizontal="center"/>
    </xf>
    <xf numFmtId="167" fontId="0" fillId="0" borderId="1" xfId="0" applyNumberFormat="1" applyBorder="1"/>
    <xf numFmtId="167" fontId="1" fillId="11" borderId="1" xfId="0" applyNumberFormat="1" applyFont="1" applyFill="1" applyBorder="1"/>
    <xf numFmtId="167" fontId="0" fillId="10" borderId="1" xfId="0" applyNumberFormat="1" applyFill="1" applyBorder="1"/>
    <xf numFmtId="166" fontId="0" fillId="10" borderId="1" xfId="0" applyNumberFormat="1" applyFill="1" applyBorder="1"/>
    <xf numFmtId="0" fontId="7" fillId="12" borderId="1" xfId="0" applyFont="1" applyFill="1" applyBorder="1" applyAlignment="1">
      <alignment horizontal="center"/>
    </xf>
    <xf numFmtId="167" fontId="0" fillId="8" borderId="1" xfId="0" applyNumberFormat="1" applyFill="1" applyBorder="1"/>
    <xf numFmtId="0" fontId="7" fillId="21" borderId="1" xfId="0" applyFont="1" applyFill="1" applyBorder="1" applyAlignment="1">
      <alignment horizontal="center"/>
    </xf>
    <xf numFmtId="17" fontId="0" fillId="22" borderId="1" xfId="0" applyNumberFormat="1" applyFill="1" applyBorder="1"/>
    <xf numFmtId="167" fontId="0" fillId="22" borderId="1" xfId="0" applyNumberFormat="1" applyFill="1" applyBorder="1"/>
    <xf numFmtId="0" fontId="0" fillId="22" borderId="1" xfId="0" applyFill="1" applyBorder="1"/>
    <xf numFmtId="0" fontId="7" fillId="23" borderId="1" xfId="0" applyFont="1" applyFill="1" applyBorder="1" applyAlignment="1">
      <alignment horizontal="center"/>
    </xf>
    <xf numFmtId="0" fontId="1" fillId="0" borderId="1" xfId="0" applyFont="1" applyBorder="1"/>
    <xf numFmtId="0" fontId="1" fillId="13" borderId="1" xfId="0" applyFont="1" applyFill="1" applyBorder="1"/>
    <xf numFmtId="167" fontId="0" fillId="13" borderId="1" xfId="0" applyNumberFormat="1" applyFill="1" applyBorder="1"/>
    <xf numFmtId="0" fontId="28" fillId="0" borderId="0" xfId="0" applyFont="1"/>
    <xf numFmtId="0" fontId="24" fillId="0" borderId="0" xfId="0" applyFont="1" applyAlignment="1">
      <alignment horizontal="center"/>
    </xf>
    <xf numFmtId="0" fontId="0" fillId="0" borderId="0" xfId="0"/>
    <xf numFmtId="0" fontId="25" fillId="0" borderId="0" xfId="0" applyFont="1" applyAlignment="1">
      <alignment horizontal="center"/>
    </xf>
    <xf numFmtId="0" fontId="6" fillId="4" borderId="0" xfId="0" applyFont="1" applyFill="1"/>
    <xf numFmtId="0" fontId="6" fillId="0" borderId="0" xfId="0" applyFont="1" applyAlignment="1">
      <alignment horizontal="center"/>
    </xf>
    <xf numFmtId="0" fontId="0" fillId="0" borderId="0" xfId="0" applyAlignment="1">
      <alignment horizontal="center"/>
    </xf>
    <xf numFmtId="0" fontId="9" fillId="0" borderId="0" xfId="0" applyFont="1" applyAlignment="1">
      <alignment horizontal="center"/>
    </xf>
    <xf numFmtId="0" fontId="15" fillId="0" borderId="0" xfId="0" applyFont="1"/>
    <xf numFmtId="0" fontId="1" fillId="0" borderId="0" xfId="0" applyFont="1"/>
    <xf numFmtId="0" fontId="6" fillId="0" borderId="0" xfId="0" applyFont="1"/>
    <xf numFmtId="0" fontId="9" fillId="0" borderId="0" xfId="0" applyFont="1"/>
    <xf numFmtId="0" fontId="17" fillId="0" borderId="0" xfId="0" applyFont="1"/>
    <xf numFmtId="0" fontId="17" fillId="7" borderId="0" xfId="0" applyFont="1" applyFill="1"/>
    <xf numFmtId="0" fontId="22" fillId="9" borderId="0" xfId="0" applyFont="1" applyFill="1" applyAlignment="1">
      <alignment horizontal="center"/>
    </xf>
    <xf numFmtId="0" fontId="14" fillId="0" borderId="0" xfId="0" applyFont="1"/>
    <xf numFmtId="0" fontId="16" fillId="0" borderId="0" xfId="0" applyFont="1"/>
    <xf numFmtId="0" fontId="10" fillId="0" borderId="0" xfId="0" applyFont="1"/>
    <xf numFmtId="0" fontId="6" fillId="9" borderId="0" xfId="0" applyFont="1" applyFill="1" applyAlignment="1">
      <alignment horizontal="center"/>
    </xf>
    <xf numFmtId="0" fontId="0" fillId="9" borderId="0" xfId="0" applyFill="1"/>
    <xf numFmtId="167" fontId="1" fillId="9" borderId="1" xfId="0" applyNumberFormat="1" applyFont="1" applyFill="1" applyBorder="1"/>
    <xf numFmtId="0" fontId="7" fillId="24" borderId="1" xfId="0" applyFont="1" applyFill="1" applyBorder="1" applyAlignment="1">
      <alignment horizontal="center"/>
    </xf>
    <xf numFmtId="167" fontId="11" fillId="0" borderId="0" xfId="0" applyNumberFormat="1" applyFont="1"/>
    <xf numFmtId="0" fontId="8" fillId="25" borderId="0" xfId="0" applyFont="1" applyFill="1" applyAlignment="1">
      <alignment horizontal="center"/>
    </xf>
    <xf numFmtId="0" fontId="29" fillId="0" borderId="0" xfId="0" applyFont="1"/>
    <xf numFmtId="167" fontId="1" fillId="18" borderId="1" xfId="0" applyNumberFormat="1" applyFont="1" applyFill="1" applyBorder="1"/>
    <xf numFmtId="0" fontId="1" fillId="8" borderId="1" xfId="0" applyFont="1" applyFill="1" applyBorder="1"/>
    <xf numFmtId="167" fontId="1" fillId="8" borderId="1" xfId="0" applyNumberFormat="1" applyFont="1" applyFill="1" applyBorder="1"/>
    <xf numFmtId="166" fontId="1" fillId="8" borderId="1" xfId="0" applyNumberFormat="1" applyFont="1" applyFill="1" applyBorder="1"/>
    <xf numFmtId="0" fontId="30" fillId="7" borderId="0" xfId="0" applyFont="1" applyFill="1" applyAlignment="1">
      <alignment horizontal="center"/>
    </xf>
    <xf numFmtId="167" fontId="1" fillId="0" borderId="0" xfId="0" applyNumberFormat="1" applyFont="1"/>
    <xf numFmtId="0" fontId="4" fillId="5" borderId="20" xfId="0" applyFont="1" applyFill="1" applyBorder="1" applyAlignment="1">
      <alignment horizontal="center"/>
    </xf>
    <xf numFmtId="0" fontId="31" fillId="9" borderId="21" xfId="0" applyFont="1" applyFill="1" applyBorder="1" applyAlignment="1">
      <alignment horizontal="center"/>
    </xf>
    <xf numFmtId="0" fontId="1" fillId="0" borderId="21" xfId="0" applyFont="1" applyBorder="1"/>
    <xf numFmtId="0" fontId="1" fillId="0" borderId="22" xfId="0" applyFont="1" applyBorder="1"/>
    <xf numFmtId="0" fontId="0" fillId="0" borderId="23" xfId="0" applyBorder="1"/>
    <xf numFmtId="0" fontId="0" fillId="0" borderId="24" xfId="0" applyBorder="1"/>
    <xf numFmtId="167" fontId="23" fillId="0" borderId="24" xfId="0" applyNumberFormat="1" applyFont="1" applyBorder="1"/>
    <xf numFmtId="0" fontId="1" fillId="0" borderId="24" xfId="0" applyFont="1" applyBorder="1"/>
    <xf numFmtId="166" fontId="11" fillId="0" borderId="25" xfId="0" applyNumberFormat="1" applyFont="1" applyBorder="1"/>
    <xf numFmtId="0" fontId="4" fillId="12" borderId="20" xfId="0" applyFont="1" applyFill="1" applyBorder="1" applyAlignment="1">
      <alignment horizontal="center"/>
    </xf>
    <xf numFmtId="0" fontId="32" fillId="8" borderId="21" xfId="0" applyFont="1" applyFill="1" applyBorder="1" applyAlignment="1">
      <alignment horizontal="center"/>
    </xf>
    <xf numFmtId="167" fontId="33" fillId="0" borderId="24" xfId="0" applyNumberFormat="1" applyFont="1" applyBorder="1"/>
    <xf numFmtId="166" fontId="34" fillId="0" borderId="25" xfId="0" applyNumberFormat="1" applyFont="1" applyBorder="1"/>
    <xf numFmtId="0" fontId="1" fillId="0" borderId="0" xfId="0" applyFont="1" applyFill="1" applyBorder="1"/>
    <xf numFmtId="0" fontId="35" fillId="0" borderId="0" xfId="0" applyFont="1" applyFill="1" applyBorder="1"/>
  </cellXfs>
  <cellStyles count="2">
    <cellStyle name="Hyperlink" xfId="1" builtinId="8"/>
    <cellStyle name="Normal" xfId="0" builtinId="0"/>
  </cellStyles>
  <dxfs count="42">
    <dxf>
      <font>
        <color rgb="FF006100"/>
      </font>
      <fill>
        <patternFill patternType="solid">
          <fgColor indexed="64"/>
          <bgColor rgb="FFC6EFCE"/>
        </patternFill>
      </fill>
    </dxf>
    <dxf>
      <font>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CCC"/>
        </patternFill>
      </fill>
    </dxf>
    <dxf>
      <font>
        <b/>
        <i val="0"/>
        <color rgb="FF006100"/>
      </font>
      <fill>
        <patternFill patternType="solid">
          <fgColor indexed="64"/>
          <bgColor rgb="FFC6EFCE"/>
        </patternFill>
      </fill>
    </dxf>
    <dxf>
      <font>
        <b/>
        <i val="0"/>
        <color rgb="FF9C0006"/>
      </font>
      <fill>
        <patternFill patternType="solid">
          <fgColor indexed="64"/>
          <bgColor rgb="FFFFCCCC"/>
        </patternFill>
      </fill>
    </dxf>
    <dxf>
      <font>
        <b/>
        <i val="0"/>
        <color rgb="FF9C5700"/>
      </font>
      <fill>
        <patternFill patternType="solid">
          <fgColor indexed="64"/>
          <bgColor rgb="FFFFE6CC"/>
        </patternFill>
      </fill>
    </dxf>
    <dxf>
      <font>
        <b/>
        <i val="0"/>
        <color rgb="FF9C0006"/>
      </font>
      <fill>
        <patternFill patternType="solid">
          <fgColor indexed="64"/>
          <bgColor rgb="FFFFCCCC"/>
        </patternFill>
      </fill>
    </dxf>
    <dxf>
      <font>
        <color rgb="FF9C5700"/>
      </font>
      <fill>
        <patternFill patternType="solid">
          <fgColor indexed="64"/>
          <bgColor rgb="FFFFEB9C"/>
        </patternFill>
      </fill>
    </dxf>
    <dxf>
      <font>
        <b/>
        <i val="0"/>
        <color rgb="FF974706"/>
      </font>
      <fill>
        <patternFill patternType="solid">
          <fgColor indexed="64"/>
          <bgColor rgb="FFFFCC99"/>
        </patternFill>
      </fill>
    </dxf>
    <dxf>
      <font>
        <b/>
        <i val="0"/>
        <color rgb="FF9C0006"/>
      </font>
      <fill>
        <patternFill patternType="solid">
          <fgColor indexed="64"/>
          <bgColor rgb="FFFFC7CE"/>
        </patternFill>
      </fill>
    </dxf>
    <dxf>
      <font>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9C5700"/>
      </font>
      <fill>
        <patternFill patternType="solid">
          <fgColor indexed="64"/>
          <bgColor rgb="FFFFEB9C"/>
        </patternFill>
      </fill>
    </dxf>
    <dxf>
      <fill>
        <patternFill patternType="solid">
          <fgColor indexed="64"/>
          <bgColor rgb="FFFFE6E6"/>
        </patternFill>
      </fill>
    </dxf>
    <dxf>
      <fill>
        <patternFill patternType="solid">
          <fgColor indexed="64"/>
          <bgColor rgb="FFFFF2CC"/>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ill>
        <patternFill patternType="solid">
          <fgColor indexed="64"/>
          <bgColor rgb="FFFFEB9C"/>
        </patternFill>
      </fill>
    </dxf>
    <dxf>
      <font>
        <b/>
        <i val="0"/>
      </font>
      <fill>
        <patternFill patternType="solid">
          <fgColor indexed="64"/>
          <bgColor rgb="FFFFFF00"/>
        </patternFill>
      </fill>
    </dxf>
    <dxf>
      <font>
        <b/>
        <i val="0"/>
      </font>
      <fill>
        <patternFill patternType="solid">
          <fgColor indexed="64"/>
          <bgColor rgb="FFFFD966"/>
        </patternFill>
      </fill>
    </dxf>
    <dxf>
      <font>
        <color rgb="FF006100"/>
      </font>
      <fill>
        <patternFill patternType="solid">
          <fgColor indexed="64"/>
          <bgColor rgb="FFC6EFCE"/>
        </patternFill>
      </fill>
    </dxf>
    <dxf>
      <font>
        <b/>
        <i val="0"/>
        <color rgb="FF1F4E79"/>
      </font>
      <fill>
        <patternFill patternType="solid">
          <fgColor indexed="64"/>
          <bgColor rgb="FFBDD7EE"/>
        </patternFill>
      </fill>
    </dxf>
    <dxf>
      <font>
        <color rgb="FF006100"/>
      </font>
      <fill>
        <patternFill patternType="solid">
          <fgColor indexed="64"/>
          <bgColor rgb="FFC6EFCE"/>
        </patternFill>
      </fill>
    </dxf>
    <dxf>
      <font>
        <b/>
        <i val="0"/>
        <color rgb="FFC00000"/>
      </font>
      <fill>
        <patternFill patternType="solid">
          <fgColor indexed="64"/>
          <bgColor rgb="FFFFCCCC"/>
        </patternFill>
      </fill>
    </dxf>
    <dxf>
      <font>
        <color rgb="FF006100"/>
      </font>
      <fill>
        <patternFill patternType="solid">
          <fgColor indexed="64"/>
          <bgColor rgb="FFC6EFCE"/>
        </patternFill>
      </fill>
    </dxf>
    <dxf>
      <font>
        <color rgb="FF9C0006"/>
      </font>
      <fill>
        <patternFill patternType="solid">
          <fgColor indexed="64"/>
          <bgColor rgb="FFFFC7CE"/>
        </patternFill>
      </fill>
    </dxf>
    <dxf>
      <fill>
        <patternFill patternType="solid">
          <fgColor indexed="64"/>
          <bgColor rgb="FFFFE6E6"/>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C00000"/>
      </font>
      <fill>
        <patternFill patternType="solid">
          <fgColor indexed="64"/>
          <bgColor rgb="FFFFCCCC"/>
        </patternFill>
      </fill>
    </dxf>
    <dxf>
      <font>
        <b/>
        <i val="0"/>
        <color rgb="FFC00000"/>
      </font>
      <fill>
        <patternFill patternType="solid">
          <fgColor indexed="64"/>
          <bgColor rgb="FFFFCCCC"/>
        </patternFill>
      </fill>
    </dxf>
    <dxf>
      <font>
        <b/>
        <i val="0"/>
        <color rgb="FFC00000"/>
      </font>
      <fill>
        <patternFill patternType="solid">
          <fgColor indexed="64"/>
          <bgColor rgb="FFFFCCCC"/>
        </patternFill>
      </fill>
    </dxf>
    <dxf>
      <fill>
        <patternFill patternType="solid">
          <fgColor indexed="64"/>
          <bgColor rgb="FFFFE6E6"/>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b/>
        <i val="0"/>
        <color rgb="FFFFFFFF"/>
      </font>
      <fill>
        <patternFill patternType="solid">
          <fgColor indexed="64"/>
          <bgColor rgb="FF2E75B6"/>
        </patternFill>
      </fill>
    </dxf>
    <dxf>
      <fill>
        <patternFill patternType="solid">
          <fgColor indexed="64"/>
          <bgColor rgb="FFBDD7EE"/>
        </patternFill>
      </fill>
    </dxf>
    <dxf>
      <fill>
        <patternFill patternType="solid">
          <fgColor indexed="64"/>
          <bgColor rgb="FFE2EFDA"/>
        </patternFill>
      </fill>
    </dxf>
    <dxf>
      <fill>
        <patternFill patternType="solid">
          <fgColor indexed="64"/>
          <b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Region-wise Sales Distribution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3C-453A-B3B3-89D03D9B06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3C-453A-B3B3-89D03D9B06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3C-453A-B3B3-89D03D9B06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3C-453A-B3B3-89D03D9B06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Sales_Dashboard!$A$11:$A$14</c:f>
              <c:strCache>
                <c:ptCount val="4"/>
                <c:pt idx="0">
                  <c:v>East</c:v>
                </c:pt>
                <c:pt idx="1">
                  <c:v>North</c:v>
                </c:pt>
                <c:pt idx="2">
                  <c:v>South</c:v>
                </c:pt>
                <c:pt idx="3">
                  <c:v>West</c:v>
                </c:pt>
              </c:strCache>
            </c:strRef>
          </c:cat>
          <c:val>
            <c:numRef>
              <c:f>Sales_Dashboard!$B$11:$B$14</c:f>
              <c:numCache>
                <c:formatCode>\₹#,##0</c:formatCode>
                <c:ptCount val="4"/>
                <c:pt idx="0">
                  <c:v>3000144</c:v>
                </c:pt>
                <c:pt idx="1">
                  <c:v>2748083</c:v>
                </c:pt>
                <c:pt idx="2">
                  <c:v>2464143</c:v>
                </c:pt>
                <c:pt idx="3">
                  <c:v>3607460</c:v>
                </c:pt>
              </c:numCache>
            </c:numRef>
          </c:val>
          <c:extLst>
            <c:ext xmlns:c16="http://schemas.microsoft.com/office/drawing/2014/chart" uri="{C3380CC4-5D6E-409C-BE32-E72D297353CC}">
              <c16:uniqueId val="{00000000-AA6D-495C-AAFE-141E76E7425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Product-wise Sales Comparison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54823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Sales_Dashboard!$A$20:$A$23</c:f>
              <c:strCache>
                <c:ptCount val="4"/>
                <c:pt idx="0">
                  <c:v>Excel Course</c:v>
                </c:pt>
                <c:pt idx="1">
                  <c:v>GST Course</c:v>
                </c:pt>
                <c:pt idx="2">
                  <c:v>Power BI Course</c:v>
                </c:pt>
                <c:pt idx="3">
                  <c:v>Tally Course</c:v>
                </c:pt>
              </c:strCache>
            </c:strRef>
          </c:cat>
          <c:val>
            <c:numRef>
              <c:f>Sales_Dashboard!$B$20:$B$23</c:f>
              <c:numCache>
                <c:formatCode>\₹#,##0</c:formatCode>
                <c:ptCount val="4"/>
                <c:pt idx="0">
                  <c:v>2954852</c:v>
                </c:pt>
                <c:pt idx="1">
                  <c:v>2919573</c:v>
                </c:pt>
                <c:pt idx="2">
                  <c:v>2667418</c:v>
                </c:pt>
                <c:pt idx="3">
                  <c:v>3277987</c:v>
                </c:pt>
              </c:numCache>
            </c:numRef>
          </c:val>
          <c:extLst>
            <c:ext xmlns:c16="http://schemas.microsoft.com/office/drawing/2014/chart" uri="{C3380CC4-5D6E-409C-BE32-E72D297353CC}">
              <c16:uniqueId val="{00000000-7378-4F9A-9A06-D3C42B1D3A92}"/>
            </c:ext>
          </c:extLst>
        </c:ser>
        <c:dLbls>
          <c:showLegendKey val="0"/>
          <c:showVal val="0"/>
          <c:showCatName val="0"/>
          <c:showSerName val="0"/>
          <c:showPercent val="0"/>
          <c:showBubbleSize val="0"/>
        </c:dLbls>
        <c:gapWidth val="219"/>
        <c:overlap val="-27"/>
        <c:axId val="1358501040"/>
        <c:axId val="1358501520"/>
      </c:barChart>
      <c:catAx>
        <c:axId val="135850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501520"/>
        <c:crosses val="autoZero"/>
        <c:auto val="1"/>
        <c:lblAlgn val="ctr"/>
        <c:lblOffset val="100"/>
        <c:noMultiLvlLbl val="0"/>
      </c:catAx>
      <c:valAx>
        <c:axId val="13585015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50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7030A0"/>
              </a:solidFill>
              <a:prstDash val="solid"/>
              <a:round/>
            </a:ln>
            <a:effectLst/>
          </c:spPr>
          <c:marker>
            <c:symbol val="circle"/>
            <c:size val="5"/>
            <c:spPr>
              <a:solidFill>
                <a:schemeClr val="accent1"/>
              </a:solidFill>
              <a:ln w="9525">
                <a:solidFill>
                  <a:schemeClr val="accent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Sales_Dashboard!$A$29:$A$32</c:f>
              <c:numCache>
                <c:formatCode>mmm\-yy</c:formatCode>
                <c:ptCount val="4"/>
                <c:pt idx="0">
                  <c:v>46023</c:v>
                </c:pt>
                <c:pt idx="1">
                  <c:v>46054</c:v>
                </c:pt>
                <c:pt idx="2">
                  <c:v>46082</c:v>
                </c:pt>
                <c:pt idx="3">
                  <c:v>46113</c:v>
                </c:pt>
              </c:numCache>
            </c:numRef>
          </c:cat>
          <c:val>
            <c:numRef>
              <c:f>Sales_Dashboard!$B$29:$B$32</c:f>
              <c:numCache>
                <c:formatCode>\₹#,##0</c:formatCode>
                <c:ptCount val="4"/>
                <c:pt idx="0">
                  <c:v>2945349</c:v>
                </c:pt>
                <c:pt idx="1">
                  <c:v>2640404</c:v>
                </c:pt>
                <c:pt idx="2">
                  <c:v>2731454</c:v>
                </c:pt>
                <c:pt idx="3">
                  <c:v>3352394</c:v>
                </c:pt>
              </c:numCache>
            </c:numRef>
          </c:val>
          <c:smooth val="0"/>
          <c:extLst>
            <c:ext xmlns:c16="http://schemas.microsoft.com/office/drawing/2014/chart" uri="{C3380CC4-5D6E-409C-BE32-E72D297353CC}">
              <c16:uniqueId val="{00000000-1E48-447A-801B-D2BC67B84977}"/>
            </c:ext>
          </c:extLst>
        </c:ser>
        <c:dLbls>
          <c:showLegendKey val="0"/>
          <c:showVal val="0"/>
          <c:showCatName val="0"/>
          <c:showSerName val="0"/>
          <c:showPercent val="0"/>
          <c:showBubbleSize val="0"/>
        </c:dLbls>
        <c:marker val="1"/>
        <c:smooth val="0"/>
        <c:axId val="638244063"/>
        <c:axId val="638243583"/>
      </c:lineChart>
      <c:dateAx>
        <c:axId val="638244063"/>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243583"/>
        <c:crosses val="autoZero"/>
        <c:auto val="1"/>
        <c:lblOffset val="100"/>
        <c:baseTimeUnit val="months"/>
      </c:dateAx>
      <c:valAx>
        <c:axId val="638243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24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Region × Product Sales Breakdown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Sales_Dashboard!$B$37</c:f>
              <c:strCache>
                <c:ptCount val="1"/>
                <c:pt idx="0">
                  <c:v>Excel Course</c:v>
                </c:pt>
              </c:strCache>
            </c:strRef>
          </c:tx>
          <c:spPr>
            <a:solidFill>
              <a:schemeClr val="accent1"/>
            </a:solidFill>
            <a:ln>
              <a:noFill/>
            </a:ln>
            <a:effectLst/>
          </c:spPr>
          <c:invertIfNegative val="0"/>
          <c:cat>
            <c:strRef>
              <c:f>Sales_Dashboard!$A$38:$A$41</c:f>
              <c:strCache>
                <c:ptCount val="4"/>
                <c:pt idx="0">
                  <c:v>East</c:v>
                </c:pt>
                <c:pt idx="1">
                  <c:v>North</c:v>
                </c:pt>
                <c:pt idx="2">
                  <c:v>South</c:v>
                </c:pt>
                <c:pt idx="3">
                  <c:v>West</c:v>
                </c:pt>
              </c:strCache>
            </c:strRef>
          </c:cat>
          <c:val>
            <c:numRef>
              <c:f>Sales_Dashboard!$B$38:$B$41</c:f>
              <c:numCache>
                <c:formatCode>\₹#,##0</c:formatCode>
                <c:ptCount val="4"/>
                <c:pt idx="0">
                  <c:v>604036</c:v>
                </c:pt>
                <c:pt idx="1">
                  <c:v>491115</c:v>
                </c:pt>
                <c:pt idx="2">
                  <c:v>920120</c:v>
                </c:pt>
                <c:pt idx="3">
                  <c:v>939581</c:v>
                </c:pt>
              </c:numCache>
            </c:numRef>
          </c:val>
          <c:extLst>
            <c:ext xmlns:c16="http://schemas.microsoft.com/office/drawing/2014/chart" uri="{C3380CC4-5D6E-409C-BE32-E72D297353CC}">
              <c16:uniqueId val="{00000000-B3E5-4466-A8D7-2327AA2DA7B0}"/>
            </c:ext>
          </c:extLst>
        </c:ser>
        <c:ser>
          <c:idx val="1"/>
          <c:order val="1"/>
          <c:tx>
            <c:strRef>
              <c:f>Sales_Dashboard!$C$37</c:f>
              <c:strCache>
                <c:ptCount val="1"/>
                <c:pt idx="0">
                  <c:v>GST Course</c:v>
                </c:pt>
              </c:strCache>
            </c:strRef>
          </c:tx>
          <c:spPr>
            <a:solidFill>
              <a:schemeClr val="accent2"/>
            </a:solidFill>
            <a:ln>
              <a:noFill/>
            </a:ln>
            <a:effectLst/>
          </c:spPr>
          <c:invertIfNegative val="0"/>
          <c:cat>
            <c:strRef>
              <c:f>Sales_Dashboard!$A$38:$A$41</c:f>
              <c:strCache>
                <c:ptCount val="4"/>
                <c:pt idx="0">
                  <c:v>East</c:v>
                </c:pt>
                <c:pt idx="1">
                  <c:v>North</c:v>
                </c:pt>
                <c:pt idx="2">
                  <c:v>South</c:v>
                </c:pt>
                <c:pt idx="3">
                  <c:v>West</c:v>
                </c:pt>
              </c:strCache>
            </c:strRef>
          </c:cat>
          <c:val>
            <c:numRef>
              <c:f>Sales_Dashboard!$C$38:$C$41</c:f>
              <c:numCache>
                <c:formatCode>\₹#,##0</c:formatCode>
                <c:ptCount val="4"/>
                <c:pt idx="0">
                  <c:v>876421</c:v>
                </c:pt>
                <c:pt idx="1">
                  <c:v>582698</c:v>
                </c:pt>
                <c:pt idx="2">
                  <c:v>439632</c:v>
                </c:pt>
                <c:pt idx="3">
                  <c:v>1020822</c:v>
                </c:pt>
              </c:numCache>
            </c:numRef>
          </c:val>
          <c:extLst>
            <c:ext xmlns:c16="http://schemas.microsoft.com/office/drawing/2014/chart" uri="{C3380CC4-5D6E-409C-BE32-E72D297353CC}">
              <c16:uniqueId val="{00000001-B3E5-4466-A8D7-2327AA2DA7B0}"/>
            </c:ext>
          </c:extLst>
        </c:ser>
        <c:ser>
          <c:idx val="2"/>
          <c:order val="2"/>
          <c:tx>
            <c:strRef>
              <c:f>Sales_Dashboard!$D$37</c:f>
              <c:strCache>
                <c:ptCount val="1"/>
                <c:pt idx="0">
                  <c:v>Power BI Course</c:v>
                </c:pt>
              </c:strCache>
            </c:strRef>
          </c:tx>
          <c:spPr>
            <a:solidFill>
              <a:schemeClr val="accent3"/>
            </a:solidFill>
            <a:ln>
              <a:noFill/>
            </a:ln>
            <a:effectLst/>
          </c:spPr>
          <c:invertIfNegative val="0"/>
          <c:cat>
            <c:strRef>
              <c:f>Sales_Dashboard!$A$38:$A$41</c:f>
              <c:strCache>
                <c:ptCount val="4"/>
                <c:pt idx="0">
                  <c:v>East</c:v>
                </c:pt>
                <c:pt idx="1">
                  <c:v>North</c:v>
                </c:pt>
                <c:pt idx="2">
                  <c:v>South</c:v>
                </c:pt>
                <c:pt idx="3">
                  <c:v>West</c:v>
                </c:pt>
              </c:strCache>
            </c:strRef>
          </c:cat>
          <c:val>
            <c:numRef>
              <c:f>Sales_Dashboard!$D$38:$D$41</c:f>
              <c:numCache>
                <c:formatCode>\₹#,##0</c:formatCode>
                <c:ptCount val="4"/>
                <c:pt idx="0">
                  <c:v>584672</c:v>
                </c:pt>
                <c:pt idx="1">
                  <c:v>695522</c:v>
                </c:pt>
                <c:pt idx="2">
                  <c:v>534267</c:v>
                </c:pt>
                <c:pt idx="3">
                  <c:v>852957</c:v>
                </c:pt>
              </c:numCache>
            </c:numRef>
          </c:val>
          <c:extLst>
            <c:ext xmlns:c16="http://schemas.microsoft.com/office/drawing/2014/chart" uri="{C3380CC4-5D6E-409C-BE32-E72D297353CC}">
              <c16:uniqueId val="{00000002-B3E5-4466-A8D7-2327AA2DA7B0}"/>
            </c:ext>
          </c:extLst>
        </c:ser>
        <c:ser>
          <c:idx val="3"/>
          <c:order val="3"/>
          <c:tx>
            <c:strRef>
              <c:f>Sales_Dashboard!$E$37</c:f>
              <c:strCache>
                <c:ptCount val="1"/>
                <c:pt idx="0">
                  <c:v>Tally Course</c:v>
                </c:pt>
              </c:strCache>
            </c:strRef>
          </c:tx>
          <c:spPr>
            <a:solidFill>
              <a:schemeClr val="accent4"/>
            </a:solidFill>
            <a:ln>
              <a:noFill/>
            </a:ln>
            <a:effectLst/>
          </c:spPr>
          <c:invertIfNegative val="0"/>
          <c:cat>
            <c:strRef>
              <c:f>Sales_Dashboard!$A$38:$A$41</c:f>
              <c:strCache>
                <c:ptCount val="4"/>
                <c:pt idx="0">
                  <c:v>East</c:v>
                </c:pt>
                <c:pt idx="1">
                  <c:v>North</c:v>
                </c:pt>
                <c:pt idx="2">
                  <c:v>South</c:v>
                </c:pt>
                <c:pt idx="3">
                  <c:v>West</c:v>
                </c:pt>
              </c:strCache>
            </c:strRef>
          </c:cat>
          <c:val>
            <c:numRef>
              <c:f>Sales_Dashboard!$E$38:$E$41</c:f>
              <c:numCache>
                <c:formatCode>\₹#,##0</c:formatCode>
                <c:ptCount val="4"/>
                <c:pt idx="0">
                  <c:v>935015</c:v>
                </c:pt>
                <c:pt idx="1">
                  <c:v>978748</c:v>
                </c:pt>
                <c:pt idx="2">
                  <c:v>570124</c:v>
                </c:pt>
                <c:pt idx="3">
                  <c:v>794100</c:v>
                </c:pt>
              </c:numCache>
            </c:numRef>
          </c:val>
          <c:extLst>
            <c:ext xmlns:c16="http://schemas.microsoft.com/office/drawing/2014/chart" uri="{C3380CC4-5D6E-409C-BE32-E72D297353CC}">
              <c16:uniqueId val="{00000003-B3E5-4466-A8D7-2327AA2DA7B0}"/>
            </c:ext>
          </c:extLst>
        </c:ser>
        <c:dLbls>
          <c:showLegendKey val="0"/>
          <c:showVal val="0"/>
          <c:showCatName val="0"/>
          <c:showSerName val="0"/>
          <c:showPercent val="0"/>
          <c:showBubbleSize val="0"/>
        </c:dLbls>
        <c:gapWidth val="150"/>
        <c:overlap val="100"/>
        <c:axId val="714992319"/>
        <c:axId val="702563423"/>
      </c:barChart>
      <c:catAx>
        <c:axId val="714992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63423"/>
        <c:crosses val="autoZero"/>
        <c:auto val="1"/>
        <c:lblAlgn val="ctr"/>
        <c:lblOffset val="100"/>
        <c:noMultiLvlLbl val="0"/>
      </c:catAx>
      <c:valAx>
        <c:axId val="7025634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9923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jpeg"/><Relationship Id="rId4" Type="http://schemas.openxmlformats.org/officeDocument/2006/relationships/chart" Target="../charts/chart4.xml"/></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144780</xdr:colOff>
      <xdr:row>1</xdr:row>
      <xdr:rowOff>22860</xdr:rowOff>
    </xdr:from>
    <xdr:to>
      <xdr:col>13</xdr:col>
      <xdr:colOff>53340</xdr:colOff>
      <xdr:row>9</xdr:row>
      <xdr:rowOff>243840</xdr:rowOff>
    </xdr:to>
    <xdr:sp macro="" textlink="">
      <xdr:nvSpPr>
        <xdr:cNvPr id="2" name="TextBox 3">
          <a:extLst>
            <a:ext uri="{FF2B5EF4-FFF2-40B4-BE49-F238E27FC236}">
              <a16:creationId xmlns:a16="http://schemas.microsoft.com/office/drawing/2014/main" id="{9BD6A7E7-6E67-4B4F-B29E-AB65AC5CBA60}"/>
            </a:ext>
          </a:extLst>
        </xdr:cNvPr>
        <xdr:cNvSpPr txBox="1"/>
      </xdr:nvSpPr>
      <xdr:spPr>
        <a:xfrm>
          <a:off x="10591800" y="205740"/>
          <a:ext cx="4175760" cy="239268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Prompt-01:</a:t>
          </a:r>
        </a:p>
        <a:p>
          <a:endParaRPr lang="en-IN" b="1">
            <a:solidFill>
              <a:schemeClr val="accent2">
                <a:lumMod val="50000"/>
              </a:schemeClr>
            </a:solidFill>
          </a:endParaRPr>
        </a:p>
        <a:p>
          <a:r>
            <a:rPr lang="en-US" b="1">
              <a:solidFill>
                <a:schemeClr val="accent2">
                  <a:lumMod val="50000"/>
                </a:schemeClr>
              </a:solidFill>
            </a:rPr>
            <a:t>We shall work on this open MS-Excel workbook "Excel_Demo.xlsx". Read it carefully and share details about this workbook, including worksheet names, key columns, and what each worksheet can be used for.</a:t>
          </a:r>
          <a:endParaRPr lang="en-IN" b="1">
            <a:solidFill>
              <a:schemeClr val="accent2">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350520</xdr:colOff>
      <xdr:row>0</xdr:row>
      <xdr:rowOff>213360</xdr:rowOff>
    </xdr:from>
    <xdr:to>
      <xdr:col>17</xdr:col>
      <xdr:colOff>259080</xdr:colOff>
      <xdr:row>6</xdr:row>
      <xdr:rowOff>99060</xdr:rowOff>
    </xdr:to>
    <xdr:sp macro="" textlink="">
      <xdr:nvSpPr>
        <xdr:cNvPr id="2" name="TextBox 3">
          <a:extLst>
            <a:ext uri="{FF2B5EF4-FFF2-40B4-BE49-F238E27FC236}">
              <a16:creationId xmlns:a16="http://schemas.microsoft.com/office/drawing/2014/main" id="{7141363F-790F-421A-A88A-D05400A88153}"/>
            </a:ext>
          </a:extLst>
        </xdr:cNvPr>
        <xdr:cNvSpPr txBox="1"/>
      </xdr:nvSpPr>
      <xdr:spPr>
        <a:xfrm>
          <a:off x="10355580" y="213360"/>
          <a:ext cx="4175760" cy="204978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Prompt-02:</a:t>
          </a:r>
        </a:p>
        <a:p>
          <a:endParaRPr lang="en-IN" b="1">
            <a:solidFill>
              <a:schemeClr val="accent2">
                <a:lumMod val="50000"/>
              </a:schemeClr>
            </a:solidFill>
          </a:endParaRPr>
        </a:p>
        <a:p>
          <a:r>
            <a:rPr lang="en-US" b="1">
              <a:solidFill>
                <a:schemeClr val="accent2">
                  <a:lumMod val="50000"/>
                </a:schemeClr>
              </a:solidFill>
            </a:rPr>
            <a:t>Create a new worksheet named "Index" in this workbook and add hyperlinks for all worksheets so that I can navigate easily. Format the sheet neatly and keep it as the first worksheet.</a:t>
          </a:r>
          <a:endParaRPr lang="en-IN" b="1">
            <a:solidFill>
              <a:schemeClr val="accent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11</xdr:row>
      <xdr:rowOff>0</xdr:rowOff>
    </xdr:from>
    <xdr:to>
      <xdr:col>14</xdr:col>
      <xdr:colOff>578031</xdr:colOff>
      <xdr:row>18</xdr:row>
      <xdr:rowOff>168728</xdr:rowOff>
    </xdr:to>
    <xdr:sp macro="" textlink="">
      <xdr:nvSpPr>
        <xdr:cNvPr id="2" name="TextBox 3">
          <a:extLst>
            <a:ext uri="{FF2B5EF4-FFF2-40B4-BE49-F238E27FC236}">
              <a16:creationId xmlns:a16="http://schemas.microsoft.com/office/drawing/2014/main" id="{6AEE2164-91FE-4B99-8FF3-646E5588A4BB}"/>
            </a:ext>
          </a:extLst>
        </xdr:cNvPr>
        <xdr:cNvSpPr txBox="1"/>
      </xdr:nvSpPr>
      <xdr:spPr>
        <a:xfrm>
          <a:off x="6553200" y="2035629"/>
          <a:ext cx="4175760" cy="1464128"/>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400" b="1">
              <a:solidFill>
                <a:schemeClr val="accent4">
                  <a:lumMod val="50000"/>
                </a:schemeClr>
              </a:solidFill>
            </a:rPr>
            <a:t>Prompt-03:</a:t>
          </a:r>
        </a:p>
        <a:p>
          <a:endParaRPr lang="en-IN" sz="1400" b="1">
            <a:solidFill>
              <a:schemeClr val="accent2">
                <a:lumMod val="50000"/>
              </a:schemeClr>
            </a:solidFill>
          </a:endParaRPr>
        </a:p>
        <a:p>
          <a:r>
            <a:rPr lang="en-US" sz="1400" b="1">
              <a:solidFill>
                <a:schemeClr val="accent2">
                  <a:lumMod val="50000"/>
                </a:schemeClr>
              </a:solidFill>
            </a:rPr>
            <a:t>In "Formula" worksheet we have master data in the range A1:G17 and secondary table in the range J1:M10. Generate suitable formulas to fill up columns K, L, M in the secondary table. </a:t>
          </a:r>
          <a:endParaRPr lang="en-IN" sz="1400" b="1">
            <a:solidFill>
              <a:schemeClr val="accent2">
                <a:lumMod val="50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1</xdr:row>
      <xdr:rowOff>0</xdr:rowOff>
    </xdr:from>
    <xdr:to>
      <xdr:col>16</xdr:col>
      <xdr:colOff>502920</xdr:colOff>
      <xdr:row>2</xdr:row>
      <xdr:rowOff>910200</xdr:rowOff>
    </xdr:to>
    <xdr:sp macro="" textlink="">
      <xdr:nvSpPr>
        <xdr:cNvPr id="3" name="TextBox 3">
          <a:extLst>
            <a:ext uri="{FF2B5EF4-FFF2-40B4-BE49-F238E27FC236}">
              <a16:creationId xmlns:a16="http://schemas.microsoft.com/office/drawing/2014/main" id="{D0D8B85C-54F7-4837-8F0D-C22284506455}"/>
            </a:ext>
          </a:extLst>
        </xdr:cNvPr>
        <xdr:cNvSpPr txBox="1"/>
      </xdr:nvSpPr>
      <xdr:spPr>
        <a:xfrm>
          <a:off x="14716125" y="180975"/>
          <a:ext cx="4160520" cy="329145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Prompt-04:</a:t>
          </a:r>
        </a:p>
        <a:p>
          <a:endParaRPr lang="en-IN" b="1">
            <a:solidFill>
              <a:schemeClr val="accent2">
                <a:lumMod val="50000"/>
              </a:schemeClr>
            </a:solidFill>
          </a:endParaRPr>
        </a:p>
        <a:p>
          <a:r>
            <a:rPr lang="en-US" b="1">
              <a:solidFill>
                <a:schemeClr val="accent2">
                  <a:lumMod val="50000"/>
                </a:schemeClr>
              </a:solidFill>
            </a:rPr>
            <a:t>Using the "Email_Data" worksheet, generate personalized payment reminder emails for clients whose fee status is Pending and payment confirmation emails for clients whose fee status is Paid. Insert separate new columns for the generated email subject and email body. Apply suitable conditional formatting for Paid and Pending records. </a:t>
          </a:r>
          <a:endParaRPr lang="en-IN" b="1">
            <a:solidFill>
              <a:schemeClr val="accent2">
                <a:lumMod val="50000"/>
              </a:schemeClr>
            </a:solidFill>
          </a:endParaRPr>
        </a:p>
      </xdr:txBody>
    </xdr:sp>
    <xdr:clientData/>
  </xdr:twoCellAnchor>
  <xdr:twoCellAnchor>
    <xdr:from>
      <xdr:col>10</xdr:col>
      <xdr:colOff>9525</xdr:colOff>
      <xdr:row>2</xdr:row>
      <xdr:rowOff>1152525</xdr:rowOff>
    </xdr:from>
    <xdr:to>
      <xdr:col>16</xdr:col>
      <xdr:colOff>527685</xdr:colOff>
      <xdr:row>3</xdr:row>
      <xdr:rowOff>1148715</xdr:rowOff>
    </xdr:to>
    <xdr:sp macro="" textlink="">
      <xdr:nvSpPr>
        <xdr:cNvPr id="4" name="TextBox 3">
          <a:extLst>
            <a:ext uri="{FF2B5EF4-FFF2-40B4-BE49-F238E27FC236}">
              <a16:creationId xmlns:a16="http://schemas.microsoft.com/office/drawing/2014/main" id="{6A02CA06-FE18-469A-BD7C-173B30E664B9}"/>
            </a:ext>
          </a:extLst>
        </xdr:cNvPr>
        <xdr:cNvSpPr txBox="1"/>
      </xdr:nvSpPr>
      <xdr:spPr>
        <a:xfrm>
          <a:off x="14725650" y="3714750"/>
          <a:ext cx="4175760" cy="237744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Prompt-05:</a:t>
          </a:r>
        </a:p>
        <a:p>
          <a:endParaRPr lang="en-IN" b="1">
            <a:solidFill>
              <a:schemeClr val="accent2">
                <a:lumMod val="50000"/>
              </a:schemeClr>
            </a:solidFill>
          </a:endParaRPr>
        </a:p>
        <a:p>
          <a:r>
            <a:rPr lang="en-US" b="1">
              <a:solidFill>
                <a:schemeClr val="accent2">
                  <a:lumMod val="50000"/>
                </a:schemeClr>
              </a:solidFill>
            </a:rPr>
            <a:t>Using the "Email_Data" worksheet, draft follow-up emails for students enrolled in the Advanced Excel course. Insert a separate new column for these follow-up emails and apply suitable conditional formatting to highlight those students. </a:t>
          </a:r>
          <a:endParaRPr lang="en-IN" b="1">
            <a:solidFill>
              <a:schemeClr val="accent2">
                <a:lumMod val="50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2</xdr:row>
      <xdr:rowOff>0</xdr:rowOff>
    </xdr:from>
    <xdr:to>
      <xdr:col>11</xdr:col>
      <xdr:colOff>518160</xdr:colOff>
      <xdr:row>13</xdr:row>
      <xdr:rowOff>38100</xdr:rowOff>
    </xdr:to>
    <xdr:sp macro="" textlink="">
      <xdr:nvSpPr>
        <xdr:cNvPr id="2" name="TextBox 1">
          <a:extLst>
            <a:ext uri="{FF2B5EF4-FFF2-40B4-BE49-F238E27FC236}">
              <a16:creationId xmlns:a16="http://schemas.microsoft.com/office/drawing/2014/main" id="{C6C1B668-88E4-43C9-9BF2-6129805A907D}"/>
            </a:ext>
          </a:extLst>
        </xdr:cNvPr>
        <xdr:cNvSpPr txBox="1"/>
      </xdr:nvSpPr>
      <xdr:spPr>
        <a:xfrm>
          <a:off x="4488180" y="365760"/>
          <a:ext cx="4175760" cy="204978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Prompt-06:</a:t>
          </a:r>
        </a:p>
        <a:p>
          <a:endParaRPr lang="en-IN" b="1">
            <a:solidFill>
              <a:schemeClr val="accent2">
                <a:lumMod val="50000"/>
              </a:schemeClr>
            </a:solidFill>
          </a:endParaRPr>
        </a:p>
        <a:p>
          <a:r>
            <a:rPr lang="en-US" b="1">
              <a:solidFill>
                <a:schemeClr val="accent2">
                  <a:lumMod val="50000"/>
                </a:schemeClr>
              </a:solidFill>
            </a:rPr>
            <a:t>Clean the "Raw_Messy_Data" worksheet by removing extra spaces, standardizing city names, and removing duplicate records. Keep the cleaned data properly formatted and easy to review. </a:t>
          </a:r>
          <a:endParaRPr lang="en-IN" b="1">
            <a:solidFill>
              <a:schemeClr val="accent2">
                <a:lumMod val="50000"/>
              </a:schemeClr>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1</xdr:row>
      <xdr:rowOff>0</xdr:rowOff>
    </xdr:from>
    <xdr:to>
      <xdr:col>14</xdr:col>
      <xdr:colOff>518160</xdr:colOff>
      <xdr:row>14</xdr:row>
      <xdr:rowOff>45720</xdr:rowOff>
    </xdr:to>
    <xdr:sp macro="" textlink="">
      <xdr:nvSpPr>
        <xdr:cNvPr id="2" name="TextBox 1">
          <a:extLst>
            <a:ext uri="{FF2B5EF4-FFF2-40B4-BE49-F238E27FC236}">
              <a16:creationId xmlns:a16="http://schemas.microsoft.com/office/drawing/2014/main" id="{CC2BB2CD-390D-4F69-BD55-28E9766D6E67}"/>
            </a:ext>
          </a:extLst>
        </xdr:cNvPr>
        <xdr:cNvSpPr txBox="1"/>
      </xdr:nvSpPr>
      <xdr:spPr>
        <a:xfrm>
          <a:off x="7338060" y="182880"/>
          <a:ext cx="4175760" cy="242316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Prompt-07:</a:t>
          </a:r>
        </a:p>
        <a:p>
          <a:endParaRPr lang="en-IN" b="1">
            <a:solidFill>
              <a:schemeClr val="accent2">
                <a:lumMod val="50000"/>
              </a:schemeClr>
            </a:solidFill>
          </a:endParaRPr>
        </a:p>
        <a:p>
          <a:r>
            <a:rPr lang="en-US" b="1">
              <a:solidFill>
                <a:schemeClr val="accent2">
                  <a:lumMod val="50000"/>
                </a:schemeClr>
              </a:solidFill>
            </a:rPr>
            <a:t>Using the "Payroll_Data" worksheet, create a new column for Net Salary and use a formula to calculate it as Basic Salary + Bonus - Deductions. Apply suitable conditional formatting to highlight higher and lower salary values. </a:t>
          </a:r>
          <a:endParaRPr lang="en-IN" b="1">
            <a:solidFill>
              <a:schemeClr val="accent2">
                <a:lumMod val="50000"/>
              </a:schemeClr>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0</xdr:rowOff>
    </xdr:from>
    <xdr:to>
      <xdr:col>14</xdr:col>
      <xdr:colOff>518160</xdr:colOff>
      <xdr:row>12</xdr:row>
      <xdr:rowOff>129540</xdr:rowOff>
    </xdr:to>
    <xdr:sp macro="" textlink="">
      <xdr:nvSpPr>
        <xdr:cNvPr id="2" name="TextBox 3">
          <a:extLst>
            <a:ext uri="{FF2B5EF4-FFF2-40B4-BE49-F238E27FC236}">
              <a16:creationId xmlns:a16="http://schemas.microsoft.com/office/drawing/2014/main" id="{F46BBB53-A8FC-4D95-AB7C-6C9870BCB2B0}"/>
            </a:ext>
          </a:extLst>
        </xdr:cNvPr>
        <xdr:cNvSpPr txBox="1"/>
      </xdr:nvSpPr>
      <xdr:spPr>
        <a:xfrm>
          <a:off x="7635240" y="563880"/>
          <a:ext cx="4175760" cy="204978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Prompt-08:</a:t>
          </a:r>
        </a:p>
        <a:p>
          <a:endParaRPr lang="en-IN" b="1">
            <a:solidFill>
              <a:schemeClr val="accent2">
                <a:lumMod val="50000"/>
              </a:schemeClr>
            </a:solidFill>
          </a:endParaRPr>
        </a:p>
        <a:p>
          <a:r>
            <a:rPr lang="en-US" b="1">
              <a:solidFill>
                <a:schemeClr val="accent2">
                  <a:lumMod val="50000"/>
                </a:schemeClr>
              </a:solidFill>
            </a:rPr>
            <a:t>Create a new worksheet showing a department-wise payroll summary based on the "Payroll_Data" worksheet. Include employee count and payroll totals and apply suitable conditional formatting. </a:t>
          </a:r>
          <a:endParaRPr lang="en-IN" b="1">
            <a:solidFill>
              <a:schemeClr val="accent2">
                <a:lumMod val="50000"/>
              </a:schemeClr>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13</xdr:col>
      <xdr:colOff>0</xdr:colOff>
      <xdr:row>5</xdr:row>
      <xdr:rowOff>0</xdr:rowOff>
    </xdr:from>
    <xdr:to>
      <xdr:col>20</xdr:col>
      <xdr:colOff>68580</xdr:colOff>
      <xdr:row>16</xdr:row>
      <xdr:rowOff>38100</xdr:rowOff>
    </xdr:to>
    <xdr:sp macro="" textlink="">
      <xdr:nvSpPr>
        <xdr:cNvPr id="2" name="TextBox 3">
          <a:extLst>
            <a:ext uri="{FF2B5EF4-FFF2-40B4-BE49-F238E27FC236}">
              <a16:creationId xmlns:a16="http://schemas.microsoft.com/office/drawing/2014/main" id="{71463CC1-FCFC-412F-9886-5A00F418D24A}"/>
            </a:ext>
          </a:extLst>
        </xdr:cNvPr>
        <xdr:cNvSpPr txBox="1"/>
      </xdr:nvSpPr>
      <xdr:spPr>
        <a:xfrm>
          <a:off x="18463260" y="1013460"/>
          <a:ext cx="4335780" cy="204978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Prompt-09:</a:t>
          </a:r>
        </a:p>
        <a:p>
          <a:endParaRPr lang="en-IN" b="1">
            <a:solidFill>
              <a:schemeClr val="accent2">
                <a:lumMod val="50000"/>
              </a:schemeClr>
            </a:solidFill>
          </a:endParaRPr>
        </a:p>
        <a:p>
          <a:r>
            <a:rPr lang="en-US" b="1">
              <a:solidFill>
                <a:schemeClr val="accent2">
                  <a:lumMod val="50000"/>
                </a:schemeClr>
              </a:solidFill>
            </a:rPr>
            <a:t>Compare the "Bank_Books" and "Bank_Statement" worksheets and identify unmatched transactions. Mark them clearly and apply suitable conditional formatting to highlight mismatches. </a:t>
          </a:r>
          <a:endParaRPr lang="en-IN" b="1">
            <a:solidFill>
              <a:schemeClr val="accent2">
                <a:lumMod val="50000"/>
              </a:schemeClr>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12</xdr:col>
      <xdr:colOff>0</xdr:colOff>
      <xdr:row>3</xdr:row>
      <xdr:rowOff>0</xdr:rowOff>
    </xdr:from>
    <xdr:to>
      <xdr:col>19</xdr:col>
      <xdr:colOff>53340</xdr:colOff>
      <xdr:row>15</xdr:row>
      <xdr:rowOff>106680</xdr:rowOff>
    </xdr:to>
    <xdr:sp macro="" textlink="">
      <xdr:nvSpPr>
        <xdr:cNvPr id="2" name="TextBox 3">
          <a:extLst>
            <a:ext uri="{FF2B5EF4-FFF2-40B4-BE49-F238E27FC236}">
              <a16:creationId xmlns:a16="http://schemas.microsoft.com/office/drawing/2014/main" id="{C4272885-42D8-4808-A477-140827E24CC1}"/>
            </a:ext>
          </a:extLst>
        </xdr:cNvPr>
        <xdr:cNvSpPr txBox="1"/>
      </xdr:nvSpPr>
      <xdr:spPr>
        <a:xfrm>
          <a:off x="12961620" y="632460"/>
          <a:ext cx="4320540" cy="231648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Prompt-10:</a:t>
          </a:r>
        </a:p>
        <a:p>
          <a:endParaRPr lang="en-IN" b="1">
            <a:solidFill>
              <a:schemeClr val="accent2">
                <a:lumMod val="50000"/>
              </a:schemeClr>
            </a:solidFill>
          </a:endParaRPr>
        </a:p>
        <a:p>
          <a:r>
            <a:rPr lang="en-US" b="1">
              <a:solidFill>
                <a:schemeClr val="accent2">
                  <a:lumMod val="50000"/>
                </a:schemeClr>
              </a:solidFill>
            </a:rPr>
            <a:t>Prepare a reconciliation report in a new worksheet showing missing entries between "Bank_Books" and "Bank_Statement". Clearly separate missing entries from both sides and apply suitable conditional formatting. </a:t>
          </a:r>
          <a:endParaRPr lang="en-IN" b="1">
            <a:solidFill>
              <a:schemeClr val="accent2">
                <a:lumMod val="50000"/>
              </a:schemeClr>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3</xdr:row>
      <xdr:rowOff>0</xdr:rowOff>
    </xdr:from>
    <xdr:to>
      <xdr:col>12</xdr:col>
      <xdr:colOff>518160</xdr:colOff>
      <xdr:row>13</xdr:row>
      <xdr:rowOff>45720</xdr:rowOff>
    </xdr:to>
    <xdr:sp macro="" textlink="">
      <xdr:nvSpPr>
        <xdr:cNvPr id="2" name="TextBox 3">
          <a:extLst>
            <a:ext uri="{FF2B5EF4-FFF2-40B4-BE49-F238E27FC236}">
              <a16:creationId xmlns:a16="http://schemas.microsoft.com/office/drawing/2014/main" id="{424F5832-6883-45D4-BE9F-7E8BB8AE5D68}"/>
            </a:ext>
          </a:extLst>
        </xdr:cNvPr>
        <xdr:cNvSpPr txBox="1"/>
      </xdr:nvSpPr>
      <xdr:spPr>
        <a:xfrm>
          <a:off x="8008620" y="746760"/>
          <a:ext cx="4175760" cy="204978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Prompt-11:</a:t>
          </a:r>
        </a:p>
        <a:p>
          <a:endParaRPr lang="en-IN" b="1">
            <a:solidFill>
              <a:schemeClr val="accent2">
                <a:lumMod val="50000"/>
              </a:schemeClr>
            </a:solidFill>
          </a:endParaRPr>
        </a:p>
        <a:p>
          <a:r>
            <a:rPr lang="en-US" b="1">
              <a:solidFill>
                <a:schemeClr val="accent2">
                  <a:lumMod val="50000"/>
                </a:schemeClr>
              </a:solidFill>
            </a:rPr>
            <a:t>Create a category-wise expense summary from the "Expenses" worksheet in a new worksheet. Apply suitable conditional formatting and highlight the highest expense category. </a:t>
          </a:r>
          <a:endParaRPr lang="en-IN" b="1">
            <a:solidFill>
              <a:schemeClr val="accent2">
                <a:lumMod val="50000"/>
              </a:schemeClr>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0</xdr:colOff>
      <xdr:row>3</xdr:row>
      <xdr:rowOff>0</xdr:rowOff>
    </xdr:from>
    <xdr:to>
      <xdr:col>13</xdr:col>
      <xdr:colOff>518160</xdr:colOff>
      <xdr:row>14</xdr:row>
      <xdr:rowOff>7620</xdr:rowOff>
    </xdr:to>
    <xdr:sp macro="" textlink="">
      <xdr:nvSpPr>
        <xdr:cNvPr id="2" name="TextBox 3">
          <a:extLst>
            <a:ext uri="{FF2B5EF4-FFF2-40B4-BE49-F238E27FC236}">
              <a16:creationId xmlns:a16="http://schemas.microsoft.com/office/drawing/2014/main" id="{4E5CAA2B-1E3E-40AB-8927-54F2B6021974}"/>
            </a:ext>
          </a:extLst>
        </xdr:cNvPr>
        <xdr:cNvSpPr txBox="1"/>
      </xdr:nvSpPr>
      <xdr:spPr>
        <a:xfrm>
          <a:off x="9814560" y="632460"/>
          <a:ext cx="4175760" cy="204978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Prompt-12:</a:t>
          </a:r>
        </a:p>
        <a:p>
          <a:endParaRPr lang="en-IN" b="1">
            <a:solidFill>
              <a:schemeClr val="accent2">
                <a:lumMod val="50000"/>
              </a:schemeClr>
            </a:solidFill>
          </a:endParaRPr>
        </a:p>
        <a:p>
          <a:r>
            <a:rPr lang="en-US" b="1">
              <a:solidFill>
                <a:schemeClr val="accent2">
                  <a:lumMod val="50000"/>
                </a:schemeClr>
              </a:solidFill>
            </a:rPr>
            <a:t>Generate a monthly expense report from the "Expenses" worksheet and identify the highest expense category. Present the result in a clean summary sheet with suitable conditional formatting. </a:t>
          </a:r>
          <a:endParaRPr lang="en-IN" b="1">
            <a:solidFill>
              <a:schemeClr val="accent2">
                <a:lumMod val="50000"/>
              </a:schemeClr>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0</xdr:colOff>
      <xdr:row>1</xdr:row>
      <xdr:rowOff>0</xdr:rowOff>
    </xdr:from>
    <xdr:to>
      <xdr:col>13</xdr:col>
      <xdr:colOff>518160</xdr:colOff>
      <xdr:row>12</xdr:row>
      <xdr:rowOff>38100</xdr:rowOff>
    </xdr:to>
    <xdr:sp macro="" textlink="">
      <xdr:nvSpPr>
        <xdr:cNvPr id="2" name="TextBox 3">
          <a:extLst>
            <a:ext uri="{FF2B5EF4-FFF2-40B4-BE49-F238E27FC236}">
              <a16:creationId xmlns:a16="http://schemas.microsoft.com/office/drawing/2014/main" id="{239D3EC1-8B98-471B-AFEC-AD47D30C6CA5}"/>
            </a:ext>
          </a:extLst>
        </xdr:cNvPr>
        <xdr:cNvSpPr txBox="1"/>
      </xdr:nvSpPr>
      <xdr:spPr>
        <a:xfrm>
          <a:off x="6751320" y="182880"/>
          <a:ext cx="4175760" cy="204978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Prompt-13:</a:t>
          </a:r>
        </a:p>
        <a:p>
          <a:endParaRPr lang="en-IN" b="1">
            <a:solidFill>
              <a:schemeClr val="accent2">
                <a:lumMod val="50000"/>
              </a:schemeClr>
            </a:solidFill>
          </a:endParaRPr>
        </a:p>
        <a:p>
          <a:r>
            <a:rPr lang="en-US" b="1">
              <a:solidFill>
                <a:schemeClr val="accent2">
                  <a:lumMod val="50000"/>
                </a:schemeClr>
              </a:solidFill>
            </a:rPr>
            <a:t>From the "Inventory" worksheet, identify items where Stock Available is below the Reorder Level. Add a new status column such as Low Stock or OK, and apply suitable conditional formatting. </a:t>
          </a:r>
          <a:endParaRPr lang="en-IN" b="1">
            <a:solidFill>
              <a:schemeClr val="accent2">
                <a:lumMod val="50000"/>
              </a:schemeClr>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0</xdr:colOff>
      <xdr:row>3</xdr:row>
      <xdr:rowOff>0</xdr:rowOff>
    </xdr:from>
    <xdr:to>
      <xdr:col>10</xdr:col>
      <xdr:colOff>396240</xdr:colOff>
      <xdr:row>13</xdr:row>
      <xdr:rowOff>175260</xdr:rowOff>
    </xdr:to>
    <xdr:sp macro="" textlink="">
      <xdr:nvSpPr>
        <xdr:cNvPr id="2" name="TextBox 3">
          <a:extLst>
            <a:ext uri="{FF2B5EF4-FFF2-40B4-BE49-F238E27FC236}">
              <a16:creationId xmlns:a16="http://schemas.microsoft.com/office/drawing/2014/main" id="{1C8B6D68-741B-443D-98D2-8C58E69CBF05}"/>
            </a:ext>
          </a:extLst>
        </xdr:cNvPr>
        <xdr:cNvSpPr txBox="1"/>
      </xdr:nvSpPr>
      <xdr:spPr>
        <a:xfrm>
          <a:off x="6675120" y="746760"/>
          <a:ext cx="4175760" cy="204978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Prompt-14:</a:t>
          </a:r>
        </a:p>
        <a:p>
          <a:endParaRPr lang="en-IN" b="1">
            <a:solidFill>
              <a:schemeClr val="accent2">
                <a:lumMod val="50000"/>
              </a:schemeClr>
            </a:solidFill>
          </a:endParaRPr>
        </a:p>
        <a:p>
          <a:r>
            <a:rPr lang="en-US" b="1">
              <a:solidFill>
                <a:schemeClr val="accent2">
                  <a:lumMod val="50000"/>
                </a:schemeClr>
              </a:solidFill>
            </a:rPr>
            <a:t>Create a summary report of total items and low-stock items from the "Inventory" worksheet. Present the summary in a new worksheet and apply suitable conditional formatting. </a:t>
          </a:r>
          <a:endParaRPr lang="en-IN" b="1">
            <a:solidFill>
              <a:schemeClr val="accent2">
                <a:lumMod val="50000"/>
              </a:schemeClr>
            </a:solidFill>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9</xdr:col>
      <xdr:colOff>0</xdr:colOff>
      <xdr:row>1</xdr:row>
      <xdr:rowOff>0</xdr:rowOff>
    </xdr:from>
    <xdr:to>
      <xdr:col>15</xdr:col>
      <xdr:colOff>518160</xdr:colOff>
      <xdr:row>12</xdr:row>
      <xdr:rowOff>38100</xdr:rowOff>
    </xdr:to>
    <xdr:sp macro="" textlink="">
      <xdr:nvSpPr>
        <xdr:cNvPr id="2" name="TextBox 3">
          <a:extLst>
            <a:ext uri="{FF2B5EF4-FFF2-40B4-BE49-F238E27FC236}">
              <a16:creationId xmlns:a16="http://schemas.microsoft.com/office/drawing/2014/main" id="{0692DE1D-018F-4C77-9BD0-1540F4BBCB46}"/>
            </a:ext>
          </a:extLst>
        </xdr:cNvPr>
        <xdr:cNvSpPr txBox="1"/>
      </xdr:nvSpPr>
      <xdr:spPr>
        <a:xfrm>
          <a:off x="8138160" y="190500"/>
          <a:ext cx="4175760" cy="204978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Prompt-15:</a:t>
          </a:r>
        </a:p>
        <a:p>
          <a:endParaRPr lang="en-IN" b="1">
            <a:solidFill>
              <a:schemeClr val="accent2">
                <a:lumMod val="50000"/>
              </a:schemeClr>
            </a:solidFill>
          </a:endParaRPr>
        </a:p>
        <a:p>
          <a:r>
            <a:rPr lang="en-US" b="1">
              <a:solidFill>
                <a:schemeClr val="accent2">
                  <a:lumMod val="50000"/>
                </a:schemeClr>
              </a:solidFill>
            </a:rPr>
            <a:t>From the "Client_Followup" worksheet, identify clients who need follow-up in the next 7 days. Add a follow-up status column and apply suitable conditional formatting to highlight them. </a:t>
          </a:r>
          <a:endParaRPr lang="en-IN" b="1">
            <a:solidFill>
              <a:schemeClr val="accent2">
                <a:lumMod val="50000"/>
              </a:schemeClr>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152400</xdr:colOff>
      <xdr:row>5</xdr:row>
      <xdr:rowOff>0</xdr:rowOff>
    </xdr:from>
    <xdr:to>
      <xdr:col>13</xdr:col>
      <xdr:colOff>60960</xdr:colOff>
      <xdr:row>17</xdr:row>
      <xdr:rowOff>152400</xdr:rowOff>
    </xdr:to>
    <xdr:sp macro="" textlink="">
      <xdr:nvSpPr>
        <xdr:cNvPr id="2" name="TextBox 3">
          <a:extLst>
            <a:ext uri="{FF2B5EF4-FFF2-40B4-BE49-F238E27FC236}">
              <a16:creationId xmlns:a16="http://schemas.microsoft.com/office/drawing/2014/main" id="{2BC13A3D-3607-458A-A7FA-A1BFF29E575F}"/>
            </a:ext>
          </a:extLst>
        </xdr:cNvPr>
        <xdr:cNvSpPr txBox="1"/>
      </xdr:nvSpPr>
      <xdr:spPr>
        <a:xfrm>
          <a:off x="9944100" y="1013460"/>
          <a:ext cx="4175760" cy="236220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Prompt-16:</a:t>
          </a:r>
        </a:p>
        <a:p>
          <a:endParaRPr lang="en-IN" b="1">
            <a:solidFill>
              <a:schemeClr val="accent2">
                <a:lumMod val="50000"/>
              </a:schemeClr>
            </a:solidFill>
          </a:endParaRPr>
        </a:p>
        <a:p>
          <a:r>
            <a:rPr lang="en-US" b="1">
              <a:solidFill>
                <a:schemeClr val="accent2">
                  <a:lumMod val="50000"/>
                </a:schemeClr>
              </a:solidFill>
            </a:rPr>
            <a:t>Create a summary of client status such as Interested, Negotiation, Closed, Follow-up, and Demo Given from the "Client_Followup" worksheet. Present it in a new worksheet with suitable conditional formatting. </a:t>
          </a:r>
          <a:endParaRPr lang="en-IN" b="1">
            <a:solidFill>
              <a:schemeClr val="accent2">
                <a:lumMod val="50000"/>
              </a:schemeClr>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7</xdr:col>
      <xdr:colOff>0</xdr:colOff>
      <xdr:row>1</xdr:row>
      <xdr:rowOff>0</xdr:rowOff>
    </xdr:from>
    <xdr:to>
      <xdr:col>13</xdr:col>
      <xdr:colOff>518160</xdr:colOff>
      <xdr:row>12</xdr:row>
      <xdr:rowOff>38100</xdr:rowOff>
    </xdr:to>
    <xdr:sp macro="" textlink="">
      <xdr:nvSpPr>
        <xdr:cNvPr id="2" name="TextBox 3">
          <a:extLst>
            <a:ext uri="{FF2B5EF4-FFF2-40B4-BE49-F238E27FC236}">
              <a16:creationId xmlns:a16="http://schemas.microsoft.com/office/drawing/2014/main" id="{52919F76-D547-4070-89B5-1F532C19451C}"/>
            </a:ext>
          </a:extLst>
        </xdr:cNvPr>
        <xdr:cNvSpPr txBox="1"/>
      </xdr:nvSpPr>
      <xdr:spPr>
        <a:xfrm>
          <a:off x="4541520" y="182880"/>
          <a:ext cx="4175760" cy="204978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Prompt-17:</a:t>
          </a:r>
        </a:p>
        <a:p>
          <a:endParaRPr lang="en-IN" b="1">
            <a:solidFill>
              <a:schemeClr val="accent2">
                <a:lumMod val="50000"/>
              </a:schemeClr>
            </a:solidFill>
          </a:endParaRPr>
        </a:p>
        <a:p>
          <a:r>
            <a:rPr lang="en-US" b="1">
              <a:solidFill>
                <a:schemeClr val="accent2">
                  <a:lumMod val="50000"/>
                </a:schemeClr>
              </a:solidFill>
            </a:rPr>
            <a:t>Analyze the "Budget_vs_Actual" worksheet and create a variance column using Actual - Budget. Identify which departments exceeded their budget and apply suitable conditional formatting. </a:t>
          </a:r>
          <a:endParaRPr lang="en-IN" b="1">
            <a:solidFill>
              <a:schemeClr val="accent2">
                <a:lumMod val="50000"/>
              </a:schemeClr>
            </a:solidFill>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2</xdr:row>
      <xdr:rowOff>0</xdr:rowOff>
    </xdr:from>
    <xdr:to>
      <xdr:col>12</xdr:col>
      <xdr:colOff>518160</xdr:colOff>
      <xdr:row>14</xdr:row>
      <xdr:rowOff>152400</xdr:rowOff>
    </xdr:to>
    <xdr:sp macro="" textlink="">
      <xdr:nvSpPr>
        <xdr:cNvPr id="2" name="TextBox 3">
          <a:extLst>
            <a:ext uri="{FF2B5EF4-FFF2-40B4-BE49-F238E27FC236}">
              <a16:creationId xmlns:a16="http://schemas.microsoft.com/office/drawing/2014/main" id="{1A5032F8-AB7B-46B9-A229-2EB1BF5EFED3}"/>
            </a:ext>
          </a:extLst>
        </xdr:cNvPr>
        <xdr:cNvSpPr txBox="1"/>
      </xdr:nvSpPr>
      <xdr:spPr>
        <a:xfrm>
          <a:off x="8008620" y="449580"/>
          <a:ext cx="4175760" cy="239268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Prompt-18:</a:t>
          </a:r>
        </a:p>
        <a:p>
          <a:endParaRPr lang="en-IN" b="1">
            <a:solidFill>
              <a:schemeClr val="accent2">
                <a:lumMod val="50000"/>
              </a:schemeClr>
            </a:solidFill>
          </a:endParaRPr>
        </a:p>
        <a:p>
          <a:r>
            <a:rPr lang="en-US" b="1">
              <a:solidFill>
                <a:schemeClr val="accent2">
                  <a:lumMod val="50000"/>
                </a:schemeClr>
              </a:solidFill>
            </a:rPr>
            <a:t>Create a report showing Budget, Actual, Variance, and Variance Percentage for each department from the "Budget_vs_Actual" worksheet. Present it neatly and apply suitable conditional formatting. </a:t>
          </a:r>
          <a:endParaRPr lang="en-IN" b="1">
            <a:solidFill>
              <a:schemeClr val="accent2">
                <a:lumMod val="50000"/>
              </a:schemeClr>
            </a:solidFill>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0</xdr:rowOff>
    </xdr:from>
    <xdr:to>
      <xdr:col>12</xdr:col>
      <xdr:colOff>0</xdr:colOff>
      <xdr:row>18</xdr:row>
      <xdr:rowOff>0</xdr:rowOff>
    </xdr:to>
    <xdr:graphicFrame macro="">
      <xdr:nvGraphicFramePr>
        <xdr:cNvPr id="2" name="Chart 1">
          <a:extLst>
            <a:ext uri="{FF2B5EF4-FFF2-40B4-BE49-F238E27FC236}">
              <a16:creationId xmlns:a16="http://schemas.microsoft.com/office/drawing/2014/main" id="{F6565608-9F17-F972-A488-DC93752D9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18</xdr:row>
      <xdr:rowOff>0</xdr:rowOff>
    </xdr:from>
    <xdr:to>
      <xdr:col>12</xdr:col>
      <xdr:colOff>0</xdr:colOff>
      <xdr:row>29</xdr:row>
      <xdr:rowOff>0</xdr:rowOff>
    </xdr:to>
    <xdr:graphicFrame macro="">
      <xdr:nvGraphicFramePr>
        <xdr:cNvPr id="3" name="Chart 2">
          <a:extLst>
            <a:ext uri="{FF2B5EF4-FFF2-40B4-BE49-F238E27FC236}">
              <a16:creationId xmlns:a16="http://schemas.microsoft.com/office/drawing/2014/main" id="{03CDD52D-DC8C-364C-9090-1157985A8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29</xdr:row>
      <xdr:rowOff>0</xdr:rowOff>
    </xdr:from>
    <xdr:to>
      <xdr:col>12</xdr:col>
      <xdr:colOff>0</xdr:colOff>
      <xdr:row>40</xdr:row>
      <xdr:rowOff>0</xdr:rowOff>
    </xdr:to>
    <xdr:graphicFrame macro="">
      <xdr:nvGraphicFramePr>
        <xdr:cNvPr id="4" name="Chart 3">
          <a:extLst>
            <a:ext uri="{FF2B5EF4-FFF2-40B4-BE49-F238E27FC236}">
              <a16:creationId xmlns:a16="http://schemas.microsoft.com/office/drawing/2014/main" id="{D5AA8DBD-B9F8-8D28-E43D-C4A10F5BF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41</xdr:row>
      <xdr:rowOff>0</xdr:rowOff>
    </xdr:from>
    <xdr:to>
      <xdr:col>12</xdr:col>
      <xdr:colOff>0</xdr:colOff>
      <xdr:row>52</xdr:row>
      <xdr:rowOff>0</xdr:rowOff>
    </xdr:to>
    <xdr:graphicFrame macro="">
      <xdr:nvGraphicFramePr>
        <xdr:cNvPr id="5" name="Chart 4">
          <a:extLst>
            <a:ext uri="{FF2B5EF4-FFF2-40B4-BE49-F238E27FC236}">
              <a16:creationId xmlns:a16="http://schemas.microsoft.com/office/drawing/2014/main" id="{5D21EA14-B5A4-ABFF-EA19-E490A83F9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6</xdr:row>
      <xdr:rowOff>0</xdr:rowOff>
    </xdr:from>
    <xdr:to>
      <xdr:col>19</xdr:col>
      <xdr:colOff>518160</xdr:colOff>
      <xdr:row>16</xdr:row>
      <xdr:rowOff>182880</xdr:rowOff>
    </xdr:to>
    <xdr:sp macro="" textlink="">
      <xdr:nvSpPr>
        <xdr:cNvPr id="7" name="TextBox 3">
          <a:extLst>
            <a:ext uri="{FF2B5EF4-FFF2-40B4-BE49-F238E27FC236}">
              <a16:creationId xmlns:a16="http://schemas.microsoft.com/office/drawing/2014/main" id="{3A5A83FF-1AF5-4E32-AD71-B5331613008A}"/>
            </a:ext>
          </a:extLst>
        </xdr:cNvPr>
        <xdr:cNvSpPr txBox="1"/>
      </xdr:nvSpPr>
      <xdr:spPr>
        <a:xfrm>
          <a:off x="12153900" y="1676400"/>
          <a:ext cx="4175760" cy="2049780"/>
        </a:xfrm>
        <a:prstGeom prst="rect">
          <a:avLst/>
        </a:prstGeom>
        <a:blipFill dpi="0" rotWithShape="1">
          <a:blip xmlns:r="http://schemas.openxmlformats.org/officeDocument/2006/relationships" r:embed="rId5">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Prompt-19:</a:t>
          </a:r>
        </a:p>
        <a:p>
          <a:endParaRPr lang="en-IN" b="1">
            <a:solidFill>
              <a:schemeClr val="accent2">
                <a:lumMod val="50000"/>
              </a:schemeClr>
            </a:solidFill>
          </a:endParaRPr>
        </a:p>
        <a:p>
          <a:r>
            <a:rPr lang="en-US" b="1">
              <a:solidFill>
                <a:schemeClr val="accent2">
                  <a:lumMod val="50000"/>
                </a:schemeClr>
              </a:solidFill>
            </a:rPr>
            <a:t>Using the "Sales_Data" worksheet, create a sales dashboard with region-wise and product-wise charts. Arrange the dashboard neatly in a new worksheet and highlight key metrics clearly. </a:t>
          </a:r>
          <a:endParaRPr lang="en-IN" b="1">
            <a:solidFill>
              <a:schemeClr val="accent2">
                <a:lumMod val="50000"/>
              </a:schemeClr>
            </a:solidFill>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7</xdr:col>
      <xdr:colOff>0</xdr:colOff>
      <xdr:row>4</xdr:row>
      <xdr:rowOff>0</xdr:rowOff>
    </xdr:from>
    <xdr:to>
      <xdr:col>13</xdr:col>
      <xdr:colOff>518160</xdr:colOff>
      <xdr:row>15</xdr:row>
      <xdr:rowOff>22860</xdr:rowOff>
    </xdr:to>
    <xdr:sp macro="" textlink="">
      <xdr:nvSpPr>
        <xdr:cNvPr id="2" name="TextBox 3">
          <a:extLst>
            <a:ext uri="{FF2B5EF4-FFF2-40B4-BE49-F238E27FC236}">
              <a16:creationId xmlns:a16="http://schemas.microsoft.com/office/drawing/2014/main" id="{E070C696-C579-44F9-BA72-D8E1A56F5142}"/>
            </a:ext>
          </a:extLst>
        </xdr:cNvPr>
        <xdr:cNvSpPr txBox="1"/>
      </xdr:nvSpPr>
      <xdr:spPr>
        <a:xfrm>
          <a:off x="9646920" y="944880"/>
          <a:ext cx="4175760" cy="204978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Prompt-20:</a:t>
          </a:r>
        </a:p>
        <a:p>
          <a:endParaRPr lang="en-IN" b="1">
            <a:solidFill>
              <a:schemeClr val="accent2">
                <a:lumMod val="50000"/>
              </a:schemeClr>
            </a:solidFill>
          </a:endParaRPr>
        </a:p>
        <a:p>
          <a:r>
            <a:rPr lang="en-US" b="1">
              <a:solidFill>
                <a:schemeClr val="accent2">
                  <a:lumMod val="50000"/>
                </a:schemeClr>
              </a:solidFill>
            </a:rPr>
            <a:t>Generate a pivot-style summary showing total sales by Region and Product from the "Sales_Data" worksheet. Present the summary in a new worksheet and apply suitable conditional formatting. </a:t>
          </a:r>
          <a:endParaRPr lang="en-IN" b="1">
            <a:solidFill>
              <a:schemeClr val="accent2">
                <a:lumMod val="50000"/>
              </a:schemeClr>
            </a:solidFill>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5</xdr:col>
      <xdr:colOff>0</xdr:colOff>
      <xdr:row>5</xdr:row>
      <xdr:rowOff>0</xdr:rowOff>
    </xdr:from>
    <xdr:to>
      <xdr:col>11</xdr:col>
      <xdr:colOff>518160</xdr:colOff>
      <xdr:row>15</xdr:row>
      <xdr:rowOff>175260</xdr:rowOff>
    </xdr:to>
    <xdr:sp macro="" textlink="">
      <xdr:nvSpPr>
        <xdr:cNvPr id="2" name="TextBox 3">
          <a:extLst>
            <a:ext uri="{FF2B5EF4-FFF2-40B4-BE49-F238E27FC236}">
              <a16:creationId xmlns:a16="http://schemas.microsoft.com/office/drawing/2014/main" id="{CA690675-F1FF-4A55-BDF1-1298F8AF7DCE}"/>
            </a:ext>
          </a:extLst>
        </xdr:cNvPr>
        <xdr:cNvSpPr txBox="1"/>
      </xdr:nvSpPr>
      <xdr:spPr>
        <a:xfrm>
          <a:off x="8252460" y="1219200"/>
          <a:ext cx="4175760" cy="204978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Prompt-21:</a:t>
          </a:r>
        </a:p>
        <a:p>
          <a:endParaRPr lang="en-IN" b="1">
            <a:solidFill>
              <a:schemeClr val="accent2">
                <a:lumMod val="50000"/>
              </a:schemeClr>
            </a:solidFill>
          </a:endParaRPr>
        </a:p>
        <a:p>
          <a:r>
            <a:rPr lang="en-US" b="1">
              <a:solidFill>
                <a:schemeClr val="accent2">
                  <a:lumMod val="50000"/>
                </a:schemeClr>
              </a:solidFill>
            </a:rPr>
            <a:t>Analyze the "Sales_Data" worksheet and identify the top-performing product and top-performing region based on total sales. Present the results in a summary sheet with suitable highlighting. </a:t>
          </a:r>
          <a:endParaRPr lang="en-IN" b="1">
            <a:solidFill>
              <a:schemeClr val="accent2">
                <a:lumMod val="50000"/>
              </a:schemeClr>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A354393-AC3E-4204-9964-BD27429A22BB}">
  <we:reference id="wa200009404" version="1.0.0.8" store="en-US"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9D270-9DFB-4387-83E4-29523CB36360}">
  <sheetPr>
    <tabColor theme="4" tint="0.79998168889431442"/>
  </sheetPr>
  <dimension ref="B2:F43"/>
  <sheetViews>
    <sheetView tabSelected="1" workbookViewId="0"/>
  </sheetViews>
  <sheetFormatPr defaultRowHeight="14.4" x14ac:dyDescent="0.3"/>
  <cols>
    <col min="1" max="1" width="8.88671875" style="3"/>
    <col min="2" max="2" width="16.44140625" style="3" customWidth="1"/>
    <col min="3" max="3" width="43.33203125" style="3" customWidth="1"/>
    <col min="4" max="4" width="7.33203125" style="3" bestFit="1" customWidth="1"/>
    <col min="5" max="5" width="33.109375" style="3" customWidth="1"/>
    <col min="6" max="6" width="43.21875" style="3" customWidth="1"/>
    <col min="7" max="16384" width="8.88671875" style="3"/>
  </cols>
  <sheetData>
    <row r="2" spans="2:6" ht="23.4" x14ac:dyDescent="0.3">
      <c r="B2" s="20" t="s">
        <v>441</v>
      </c>
    </row>
    <row r="4" spans="2:6" x14ac:dyDescent="0.3">
      <c r="B4" s="3" t="s">
        <v>442</v>
      </c>
    </row>
    <row r="6" spans="2:6" ht="18" x14ac:dyDescent="0.3">
      <c r="B6" s="21" t="s">
        <v>443</v>
      </c>
    </row>
    <row r="8" spans="2:6" ht="28.8" x14ac:dyDescent="0.3">
      <c r="B8" s="22" t="s">
        <v>416</v>
      </c>
      <c r="C8" s="22" t="s">
        <v>303</v>
      </c>
      <c r="D8" s="22" t="s">
        <v>444</v>
      </c>
      <c r="E8" s="22" t="s">
        <v>445</v>
      </c>
      <c r="F8" s="22" t="s">
        <v>446</v>
      </c>
    </row>
    <row r="9" spans="2:6" ht="43.2" x14ac:dyDescent="0.3">
      <c r="B9" s="27">
        <v>1</v>
      </c>
      <c r="C9" s="23" t="s">
        <v>418</v>
      </c>
      <c r="D9" s="24" t="s">
        <v>447</v>
      </c>
      <c r="E9" s="24" t="s">
        <v>448</v>
      </c>
      <c r="F9" s="24" t="s">
        <v>449</v>
      </c>
    </row>
    <row r="10" spans="2:6" ht="28.8" x14ac:dyDescent="0.3">
      <c r="B10" s="27">
        <v>2</v>
      </c>
      <c r="C10" s="23" t="s">
        <v>80</v>
      </c>
      <c r="D10" s="24" t="s">
        <v>450</v>
      </c>
      <c r="E10" s="24" t="s">
        <v>451</v>
      </c>
      <c r="F10" s="24" t="s">
        <v>452</v>
      </c>
    </row>
    <row r="11" spans="2:6" ht="28.8" x14ac:dyDescent="0.3">
      <c r="B11" s="27">
        <v>3</v>
      </c>
      <c r="C11" s="23" t="s">
        <v>86</v>
      </c>
      <c r="D11" s="24" t="s">
        <v>453</v>
      </c>
      <c r="E11" s="24" t="s">
        <v>454</v>
      </c>
      <c r="F11" s="24" t="s">
        <v>455</v>
      </c>
    </row>
    <row r="12" spans="2:6" ht="43.2" x14ac:dyDescent="0.3">
      <c r="B12" s="27">
        <v>4</v>
      </c>
      <c r="C12" s="23" t="s">
        <v>82</v>
      </c>
      <c r="D12" s="24" t="s">
        <v>450</v>
      </c>
      <c r="E12" s="24" t="s">
        <v>456</v>
      </c>
      <c r="F12" s="24" t="s">
        <v>457</v>
      </c>
    </row>
    <row r="13" spans="2:6" x14ac:dyDescent="0.3">
      <c r="B13" s="27">
        <v>5</v>
      </c>
      <c r="C13" s="23" t="s">
        <v>419</v>
      </c>
      <c r="D13" s="24" t="s">
        <v>458</v>
      </c>
      <c r="E13" s="24" t="s">
        <v>459</v>
      </c>
      <c r="F13" s="24" t="s">
        <v>460</v>
      </c>
    </row>
    <row r="14" spans="2:6" ht="28.8" x14ac:dyDescent="0.3">
      <c r="B14" s="27">
        <v>6</v>
      </c>
      <c r="C14" s="23" t="s">
        <v>420</v>
      </c>
      <c r="D14" s="24" t="s">
        <v>458</v>
      </c>
      <c r="E14" s="24" t="s">
        <v>459</v>
      </c>
      <c r="F14" s="24" t="s">
        <v>461</v>
      </c>
    </row>
    <row r="15" spans="2:6" ht="28.8" x14ac:dyDescent="0.3">
      <c r="B15" s="27">
        <v>7</v>
      </c>
      <c r="C15" s="23" t="s">
        <v>83</v>
      </c>
      <c r="D15" s="24" t="s">
        <v>462</v>
      </c>
      <c r="E15" s="24" t="s">
        <v>463</v>
      </c>
      <c r="F15" s="24" t="s">
        <v>464</v>
      </c>
    </row>
    <row r="16" spans="2:6" ht="28.8" x14ac:dyDescent="0.3">
      <c r="B16" s="27">
        <v>8</v>
      </c>
      <c r="C16" s="23" t="s">
        <v>84</v>
      </c>
      <c r="D16" s="24" t="s">
        <v>465</v>
      </c>
      <c r="E16" s="24" t="s">
        <v>466</v>
      </c>
      <c r="F16" s="24" t="s">
        <v>467</v>
      </c>
    </row>
    <row r="17" spans="2:6" ht="43.2" x14ac:dyDescent="0.3">
      <c r="B17" s="27">
        <v>9</v>
      </c>
      <c r="C17" s="23" t="s">
        <v>85</v>
      </c>
      <c r="D17" s="24" t="s">
        <v>465</v>
      </c>
      <c r="E17" s="24" t="s">
        <v>468</v>
      </c>
      <c r="F17" s="24" t="s">
        <v>469</v>
      </c>
    </row>
    <row r="18" spans="2:6" x14ac:dyDescent="0.3">
      <c r="B18" s="27">
        <v>10</v>
      </c>
      <c r="C18" s="23" t="s">
        <v>87</v>
      </c>
      <c r="D18" s="24" t="s">
        <v>470</v>
      </c>
      <c r="E18" s="24" t="s">
        <v>471</v>
      </c>
      <c r="F18" s="24" t="s">
        <v>472</v>
      </c>
    </row>
    <row r="19" spans="2:6" ht="28.8" x14ac:dyDescent="0.3">
      <c r="B19" s="27">
        <v>11</v>
      </c>
      <c r="C19" s="23" t="s">
        <v>81</v>
      </c>
      <c r="D19" s="24" t="s">
        <v>473</v>
      </c>
      <c r="E19" s="24" t="s">
        <v>474</v>
      </c>
      <c r="F19" s="24" t="s">
        <v>475</v>
      </c>
    </row>
    <row r="20" spans="2:6" ht="28.8" x14ac:dyDescent="0.3">
      <c r="B20" s="27">
        <v>12</v>
      </c>
      <c r="C20" s="23" t="s">
        <v>421</v>
      </c>
      <c r="D20" s="24" t="s">
        <v>476</v>
      </c>
      <c r="E20" s="24" t="s">
        <v>477</v>
      </c>
      <c r="F20" s="24" t="s">
        <v>478</v>
      </c>
    </row>
    <row r="22" spans="2:6" ht="18" x14ac:dyDescent="0.3">
      <c r="B22" s="21" t="s">
        <v>479</v>
      </c>
    </row>
    <row r="24" spans="2:6" x14ac:dyDescent="0.3">
      <c r="B24" s="22" t="s">
        <v>480</v>
      </c>
      <c r="C24" s="22" t="s">
        <v>481</v>
      </c>
    </row>
    <row r="25" spans="2:6" ht="28.8" x14ac:dyDescent="0.3">
      <c r="B25" s="23" t="s">
        <v>418</v>
      </c>
      <c r="C25" s="24" t="s">
        <v>482</v>
      </c>
    </row>
    <row r="26" spans="2:6" ht="28.8" x14ac:dyDescent="0.3">
      <c r="B26" s="23" t="s">
        <v>80</v>
      </c>
      <c r="C26" s="24" t="s">
        <v>483</v>
      </c>
    </row>
    <row r="27" spans="2:6" ht="28.8" x14ac:dyDescent="0.3">
      <c r="B27" s="23" t="s">
        <v>86</v>
      </c>
      <c r="C27" s="24" t="s">
        <v>484</v>
      </c>
    </row>
    <row r="28" spans="2:6" ht="28.8" x14ac:dyDescent="0.3">
      <c r="B28" s="23" t="s">
        <v>82</v>
      </c>
      <c r="C28" s="24" t="s">
        <v>485</v>
      </c>
    </row>
    <row r="29" spans="2:6" ht="28.8" x14ac:dyDescent="0.3">
      <c r="B29" s="23" t="s">
        <v>321</v>
      </c>
      <c r="C29" s="24" t="s">
        <v>486</v>
      </c>
    </row>
    <row r="30" spans="2:6" ht="28.8" x14ac:dyDescent="0.3">
      <c r="B30" s="23" t="s">
        <v>83</v>
      </c>
      <c r="C30" s="24" t="s">
        <v>487</v>
      </c>
    </row>
    <row r="31" spans="2:6" x14ac:dyDescent="0.3">
      <c r="B31" s="23" t="s">
        <v>84</v>
      </c>
      <c r="C31" s="24" t="s">
        <v>488</v>
      </c>
    </row>
    <row r="32" spans="2:6" x14ac:dyDescent="0.3">
      <c r="B32" s="23" t="s">
        <v>85</v>
      </c>
      <c r="C32" s="24" t="s">
        <v>489</v>
      </c>
    </row>
    <row r="33" spans="2:3" ht="28.8" x14ac:dyDescent="0.3">
      <c r="B33" s="23" t="s">
        <v>87</v>
      </c>
      <c r="C33" s="24" t="s">
        <v>490</v>
      </c>
    </row>
    <row r="34" spans="2:3" ht="28.8" x14ac:dyDescent="0.3">
      <c r="B34" s="23" t="s">
        <v>81</v>
      </c>
      <c r="C34" s="24" t="s">
        <v>491</v>
      </c>
    </row>
    <row r="36" spans="2:3" ht="18" x14ac:dyDescent="0.3">
      <c r="B36" s="21" t="s">
        <v>492</v>
      </c>
    </row>
    <row r="37" spans="2:3" x14ac:dyDescent="0.3">
      <c r="B37" s="25"/>
    </row>
    <row r="38" spans="2:3" x14ac:dyDescent="0.3">
      <c r="B38" s="26" t="s">
        <v>493</v>
      </c>
    </row>
    <row r="39" spans="2:3" x14ac:dyDescent="0.3">
      <c r="B39" s="26" t="s">
        <v>494</v>
      </c>
    </row>
    <row r="40" spans="2:3" x14ac:dyDescent="0.3">
      <c r="B40" s="26" t="s">
        <v>495</v>
      </c>
    </row>
    <row r="41" spans="2:3" x14ac:dyDescent="0.3">
      <c r="B41" s="26" t="s">
        <v>496</v>
      </c>
    </row>
    <row r="43" spans="2:3" x14ac:dyDescent="0.3">
      <c r="B43" s="3" t="s">
        <v>440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3B8A0-C11F-4F73-B215-6E29105D5083}">
  <sheetPr>
    <tabColor theme="5" tint="0.79998168889431442"/>
  </sheetPr>
  <dimension ref="A1:F19"/>
  <sheetViews>
    <sheetView workbookViewId="0">
      <selection sqref="A1:D1"/>
    </sheetView>
  </sheetViews>
  <sheetFormatPr defaultRowHeight="14.4" x14ac:dyDescent="0.3"/>
  <cols>
    <col min="1" max="1" width="5.5546875" customWidth="1"/>
    <col min="2" max="2" width="22.21875" customWidth="1"/>
    <col min="3" max="3" width="37" customWidth="1"/>
    <col min="4" max="4" width="27.77734375" customWidth="1"/>
  </cols>
  <sheetData>
    <row r="1" spans="1:6" ht="40.049999999999997" customHeight="1" x14ac:dyDescent="0.4">
      <c r="A1" s="155" t="s">
        <v>422</v>
      </c>
      <c r="B1" s="153"/>
      <c r="C1" s="153"/>
      <c r="D1" s="153"/>
    </row>
    <row r="2" spans="1:6" ht="28.05" customHeight="1" x14ac:dyDescent="0.3">
      <c r="A2" s="15" t="s">
        <v>416</v>
      </c>
      <c r="B2" s="15" t="s">
        <v>417</v>
      </c>
      <c r="C2" s="15" t="s">
        <v>132</v>
      </c>
      <c r="D2" s="15" t="s">
        <v>423</v>
      </c>
    </row>
    <row r="3" spans="1:6" ht="25.95" customHeight="1" x14ac:dyDescent="0.3">
      <c r="A3" s="16">
        <v>1</v>
      </c>
      <c r="B3" s="16" t="s">
        <v>418</v>
      </c>
      <c r="C3" s="16" t="s">
        <v>424</v>
      </c>
      <c r="D3" s="17" t="str">
        <f>HYPERLINK("#Formula!A1","Formula")</f>
        <v>Formula</v>
      </c>
      <c r="F3" s="18" t="str">
        <f ca="1">_xlfn.FORMULATEXT(D3)</f>
        <v>=HYPERLINK("#Formula!A1","Formula")</v>
      </c>
    </row>
    <row r="4" spans="1:6" ht="25.95" customHeight="1" x14ac:dyDescent="0.3">
      <c r="A4" s="6">
        <v>2</v>
      </c>
      <c r="B4" s="6" t="s">
        <v>80</v>
      </c>
      <c r="C4" s="6" t="s">
        <v>425</v>
      </c>
      <c r="D4" s="19" t="str">
        <f>HYPERLINK("#Email_Data!A1","Email_Data")</f>
        <v>Email_Data</v>
      </c>
      <c r="F4" s="18" t="str">
        <f t="shared" ref="F4:F14" ca="1" si="0">_xlfn.FORMULATEXT(D4)</f>
        <v>=HYPERLINK("#Email_Data!A1","Email_Data")</v>
      </c>
    </row>
    <row r="5" spans="1:6" ht="25.95" customHeight="1" x14ac:dyDescent="0.3">
      <c r="A5" s="16">
        <v>3</v>
      </c>
      <c r="B5" s="16" t="s">
        <v>86</v>
      </c>
      <c r="C5" s="16" t="s">
        <v>426</v>
      </c>
      <c r="D5" s="17" t="str">
        <f>HYPERLINK("#Raw_Messy_Data!A1","Raw_Messy_Data")</f>
        <v>Raw_Messy_Data</v>
      </c>
      <c r="F5" s="18" t="str">
        <f t="shared" ca="1" si="0"/>
        <v>=HYPERLINK("#Raw_Messy_Data!A1","Raw_Messy_Data")</v>
      </c>
    </row>
    <row r="6" spans="1:6" ht="25.95" customHeight="1" x14ac:dyDescent="0.3">
      <c r="A6" s="6">
        <v>4</v>
      </c>
      <c r="B6" s="6" t="s">
        <v>82</v>
      </c>
      <c r="C6" s="6" t="s">
        <v>427</v>
      </c>
      <c r="D6" s="19" t="str">
        <f>HYPERLINK("#Payroll_Data!A1","Payroll_Data")</f>
        <v>Payroll_Data</v>
      </c>
      <c r="F6" s="18" t="str">
        <f t="shared" ca="1" si="0"/>
        <v>=HYPERLINK("#Payroll_Data!A1","Payroll_Data")</v>
      </c>
    </row>
    <row r="7" spans="1:6" ht="25.95" customHeight="1" x14ac:dyDescent="0.3">
      <c r="A7" s="16">
        <v>5</v>
      </c>
      <c r="B7" s="16" t="s">
        <v>419</v>
      </c>
      <c r="C7" s="16" t="s">
        <v>428</v>
      </c>
      <c r="D7" s="17" t="str">
        <f>HYPERLINK("#Bank_Books!A1","Bank_Books")</f>
        <v>Bank_Books</v>
      </c>
      <c r="F7" s="18" t="str">
        <f t="shared" ca="1" si="0"/>
        <v>=HYPERLINK("#Bank_Books!A1","Bank_Books")</v>
      </c>
    </row>
    <row r="8" spans="1:6" ht="25.95" customHeight="1" x14ac:dyDescent="0.3">
      <c r="A8" s="6">
        <v>6</v>
      </c>
      <c r="B8" s="6" t="s">
        <v>420</v>
      </c>
      <c r="C8" s="6" t="s">
        <v>429</v>
      </c>
      <c r="D8" s="19" t="str">
        <f>HYPERLINK("#Bank_Statement!A1","Bank_Statement")</f>
        <v>Bank_Statement</v>
      </c>
      <c r="F8" s="18" t="str">
        <f t="shared" ca="1" si="0"/>
        <v>=HYPERLINK("#Bank_Statement!A1","Bank_Statement")</v>
      </c>
    </row>
    <row r="9" spans="1:6" ht="25.95" customHeight="1" x14ac:dyDescent="0.3">
      <c r="A9" s="16">
        <v>7</v>
      </c>
      <c r="B9" s="16" t="s">
        <v>83</v>
      </c>
      <c r="C9" s="16" t="s">
        <v>430</v>
      </c>
      <c r="D9" s="17" t="str">
        <f>HYPERLINK("#Expenses!A1","Expenses")</f>
        <v>Expenses</v>
      </c>
      <c r="F9" s="18" t="str">
        <f t="shared" ca="1" si="0"/>
        <v>=HYPERLINK("#Expenses!A1","Expenses")</v>
      </c>
    </row>
    <row r="10" spans="1:6" ht="25.95" customHeight="1" x14ac:dyDescent="0.3">
      <c r="A10" s="6">
        <v>8</v>
      </c>
      <c r="B10" s="6" t="s">
        <v>84</v>
      </c>
      <c r="C10" s="6" t="s">
        <v>431</v>
      </c>
      <c r="D10" s="19" t="str">
        <f>HYPERLINK("#Inventory!A1","Inventory")</f>
        <v>Inventory</v>
      </c>
      <c r="F10" s="18" t="str">
        <f t="shared" ca="1" si="0"/>
        <v>=HYPERLINK("#Inventory!A1","Inventory")</v>
      </c>
    </row>
    <row r="11" spans="1:6" ht="25.95" customHeight="1" x14ac:dyDescent="0.3">
      <c r="A11" s="16">
        <v>9</v>
      </c>
      <c r="B11" s="16" t="s">
        <v>85</v>
      </c>
      <c r="C11" s="16" t="s">
        <v>432</v>
      </c>
      <c r="D11" s="17" t="str">
        <f>HYPERLINK("#Client_Followup!A1","Client_Followup")</f>
        <v>Client_Followup</v>
      </c>
      <c r="F11" s="18" t="str">
        <f t="shared" ca="1" si="0"/>
        <v>=HYPERLINK("#Client_Followup!A1","Client_Followup")</v>
      </c>
    </row>
    <row r="12" spans="1:6" ht="25.95" customHeight="1" x14ac:dyDescent="0.3">
      <c r="A12" s="6">
        <v>10</v>
      </c>
      <c r="B12" s="6" t="s">
        <v>87</v>
      </c>
      <c r="C12" s="6" t="s">
        <v>433</v>
      </c>
      <c r="D12" s="19" t="str">
        <f>HYPERLINK("#Budget_vs_Actual!A1","Budget_vs_Actual")</f>
        <v>Budget_vs_Actual</v>
      </c>
      <c r="F12" s="18" t="str">
        <f t="shared" ca="1" si="0"/>
        <v>=HYPERLINK("#Budget_vs_Actual!A1","Budget_vs_Actual")</v>
      </c>
    </row>
    <row r="13" spans="1:6" ht="25.95" customHeight="1" x14ac:dyDescent="0.3">
      <c r="A13" s="16">
        <v>11</v>
      </c>
      <c r="B13" s="16" t="s">
        <v>81</v>
      </c>
      <c r="C13" s="16" t="s">
        <v>434</v>
      </c>
      <c r="D13" s="17" t="str">
        <f>HYPERLINK("#Sales_Data!A1","Sales_Data")</f>
        <v>Sales_Data</v>
      </c>
      <c r="F13" s="18" t="str">
        <f t="shared" ca="1" si="0"/>
        <v>=HYPERLINK("#Sales_Data!A1","Sales_Data")</v>
      </c>
    </row>
    <row r="14" spans="1:6" ht="25.95" customHeight="1" x14ac:dyDescent="0.3">
      <c r="A14" s="6">
        <v>12</v>
      </c>
      <c r="B14" s="6" t="s">
        <v>421</v>
      </c>
      <c r="C14" s="6" t="s">
        <v>435</v>
      </c>
      <c r="D14" s="19" t="str">
        <f>HYPERLINK("#Prompts!A1","Prompts")</f>
        <v>Prompts</v>
      </c>
      <c r="F14" s="18" t="str">
        <f t="shared" ca="1" si="0"/>
        <v>=HYPERLINK("#Prompts!A1","Prompts")</v>
      </c>
    </row>
    <row r="16" spans="1:6" ht="15.6" x14ac:dyDescent="0.3">
      <c r="A16" s="9" t="s">
        <v>436</v>
      </c>
    </row>
    <row r="17" spans="1:1" x14ac:dyDescent="0.3">
      <c r="A17" t="s">
        <v>437</v>
      </c>
    </row>
    <row r="18" spans="1:1" x14ac:dyDescent="0.3">
      <c r="A18" t="s">
        <v>438</v>
      </c>
    </row>
    <row r="19" spans="1:1" x14ac:dyDescent="0.3">
      <c r="A19" t="s">
        <v>439</v>
      </c>
    </row>
  </sheetData>
  <mergeCells count="1">
    <mergeCell ref="A1:D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26CC2-84CE-4AD6-87AC-D661B93B54E7}">
  <sheetPr>
    <tabColor theme="4" tint="0.79998168889431442"/>
  </sheetPr>
  <dimension ref="A1:M17"/>
  <sheetViews>
    <sheetView zoomScale="140" zoomScaleNormal="140" workbookViewId="0"/>
  </sheetViews>
  <sheetFormatPr defaultRowHeight="14.4" x14ac:dyDescent="0.3"/>
  <cols>
    <col min="1" max="1" width="9.6640625" bestFit="1" customWidth="1"/>
    <col min="2" max="2" width="15.44140625" customWidth="1"/>
    <col min="3" max="3" width="19.21875" bestFit="1" customWidth="1"/>
    <col min="4" max="4" width="11.109375" bestFit="1" customWidth="1"/>
    <col min="5" max="5" width="9.88671875" bestFit="1" customWidth="1"/>
    <col min="6" max="6" width="9" bestFit="1" customWidth="1"/>
    <col min="7" max="7" width="8" bestFit="1" customWidth="1"/>
    <col min="8" max="9" width="6.5546875" customWidth="1"/>
    <col min="10" max="10" width="9.6640625" bestFit="1" customWidth="1"/>
    <col min="11" max="11" width="15" customWidth="1"/>
    <col min="12" max="12" width="9.33203125" customWidth="1"/>
    <col min="13" max="13" width="9.5546875" customWidth="1"/>
  </cols>
  <sheetData>
    <row r="1" spans="1:13" x14ac:dyDescent="0.3">
      <c r="A1" s="7" t="s">
        <v>415</v>
      </c>
      <c r="B1" s="7" t="s">
        <v>414</v>
      </c>
      <c r="C1" s="7" t="s">
        <v>2</v>
      </c>
      <c r="D1" s="7" t="s">
        <v>90</v>
      </c>
      <c r="E1" s="7" t="s">
        <v>140</v>
      </c>
      <c r="F1" s="7" t="s">
        <v>412</v>
      </c>
      <c r="G1" s="7" t="s">
        <v>413</v>
      </c>
      <c r="J1" s="7" t="s">
        <v>415</v>
      </c>
      <c r="K1" s="7" t="s">
        <v>414</v>
      </c>
      <c r="L1" s="7" t="s">
        <v>413</v>
      </c>
      <c r="M1" s="7" t="s">
        <v>412</v>
      </c>
    </row>
    <row r="2" spans="1:13" x14ac:dyDescent="0.3">
      <c r="A2" s="6" t="s">
        <v>409</v>
      </c>
      <c r="B2" s="6" t="s">
        <v>411</v>
      </c>
      <c r="C2" s="6" t="s">
        <v>410</v>
      </c>
      <c r="D2" s="6" t="s">
        <v>384</v>
      </c>
      <c r="E2" s="6" t="s">
        <v>376</v>
      </c>
      <c r="F2" s="6">
        <v>78572.14</v>
      </c>
      <c r="G2" s="6">
        <v>4</v>
      </c>
      <c r="J2" s="6" t="s">
        <v>409</v>
      </c>
      <c r="K2" s="6" t="str">
        <f t="shared" ref="K2:K10" si="0">_xlfn.XLOOKUP(J2,$A$2:$A$17,$B$2:$B$17,"Not Found")</f>
        <v>Pooja Bansal</v>
      </c>
      <c r="L2" s="6">
        <f t="shared" ref="L2:L10" si="1">_xlfn.XLOOKUP(J2,$A$2:$A$17,$G$2:$G$17,"")</f>
        <v>4</v>
      </c>
      <c r="M2" s="28">
        <f t="shared" ref="M2:M10" si="2">_xlfn.XLOOKUP(J2,$A$2:$A$17,$F$2:$F$17,"")</f>
        <v>78572.14</v>
      </c>
    </row>
    <row r="3" spans="1:13" x14ac:dyDescent="0.3">
      <c r="A3" s="6" t="s">
        <v>408</v>
      </c>
      <c r="B3" s="6" t="s">
        <v>392</v>
      </c>
      <c r="C3" s="6" t="s">
        <v>407</v>
      </c>
      <c r="D3" s="6" t="s">
        <v>377</v>
      </c>
      <c r="E3" s="6" t="s">
        <v>360</v>
      </c>
      <c r="F3" s="6">
        <v>43393.19</v>
      </c>
      <c r="G3" s="6">
        <v>3</v>
      </c>
      <c r="J3" s="6" t="s">
        <v>406</v>
      </c>
      <c r="K3" s="6" t="str">
        <f t="shared" si="0"/>
        <v>Arjun Singh</v>
      </c>
      <c r="L3" s="6">
        <f t="shared" si="1"/>
        <v>2</v>
      </c>
      <c r="M3" s="28">
        <f t="shared" si="2"/>
        <v>38208.78</v>
      </c>
    </row>
    <row r="4" spans="1:13" x14ac:dyDescent="0.3">
      <c r="A4" s="6" t="s">
        <v>406</v>
      </c>
      <c r="B4" s="6" t="s">
        <v>123</v>
      </c>
      <c r="C4" s="6" t="s">
        <v>405</v>
      </c>
      <c r="D4" s="6" t="s">
        <v>364</v>
      </c>
      <c r="E4" s="6" t="s">
        <v>360</v>
      </c>
      <c r="F4" s="6">
        <v>38208.78</v>
      </c>
      <c r="G4" s="6">
        <v>2</v>
      </c>
      <c r="J4" s="6" t="s">
        <v>402</v>
      </c>
      <c r="K4" s="6" t="str">
        <f t="shared" si="0"/>
        <v>Neha Gupta</v>
      </c>
      <c r="L4" s="6">
        <f t="shared" si="1"/>
        <v>3</v>
      </c>
      <c r="M4" s="28">
        <f t="shared" si="2"/>
        <v>73256.56</v>
      </c>
    </row>
    <row r="5" spans="1:13" x14ac:dyDescent="0.3">
      <c r="A5" s="6" t="s">
        <v>404</v>
      </c>
      <c r="B5" s="6" t="s">
        <v>18</v>
      </c>
      <c r="C5" s="6" t="s">
        <v>403</v>
      </c>
      <c r="D5" s="6" t="s">
        <v>364</v>
      </c>
      <c r="E5" s="6" t="s">
        <v>360</v>
      </c>
      <c r="F5" s="6">
        <v>44514.23</v>
      </c>
      <c r="G5" s="6">
        <v>5</v>
      </c>
      <c r="J5" s="6" t="s">
        <v>396</v>
      </c>
      <c r="K5" s="6" t="str">
        <f t="shared" si="0"/>
        <v>Rohit Arora</v>
      </c>
      <c r="L5" s="6">
        <f t="shared" si="1"/>
        <v>1</v>
      </c>
      <c r="M5" s="28">
        <f t="shared" si="2"/>
        <v>64501.86</v>
      </c>
    </row>
    <row r="6" spans="1:13" x14ac:dyDescent="0.3">
      <c r="A6" s="6" t="s">
        <v>402</v>
      </c>
      <c r="B6" s="6" t="s">
        <v>254</v>
      </c>
      <c r="C6" s="6" t="s">
        <v>401</v>
      </c>
      <c r="D6" s="6" t="s">
        <v>361</v>
      </c>
      <c r="E6" s="6" t="s">
        <v>360</v>
      </c>
      <c r="F6" s="6">
        <v>73256.56</v>
      </c>
      <c r="G6" s="6">
        <v>3</v>
      </c>
      <c r="J6" s="6" t="s">
        <v>400</v>
      </c>
      <c r="K6" s="6" t="str">
        <f t="shared" si="0"/>
        <v>Not Found</v>
      </c>
      <c r="L6" s="6" t="str">
        <f t="shared" si="1"/>
        <v/>
      </c>
      <c r="M6" s="28" t="str">
        <f t="shared" si="2"/>
        <v/>
      </c>
    </row>
    <row r="7" spans="1:13" x14ac:dyDescent="0.3">
      <c r="A7" s="6" t="s">
        <v>399</v>
      </c>
      <c r="B7" s="6" t="s">
        <v>398</v>
      </c>
      <c r="C7" s="6" t="s">
        <v>397</v>
      </c>
      <c r="D7" s="6" t="s">
        <v>381</v>
      </c>
      <c r="E7" s="6" t="s">
        <v>376</v>
      </c>
      <c r="F7" s="6">
        <v>67063.78</v>
      </c>
      <c r="G7" s="6">
        <v>3</v>
      </c>
      <c r="J7" s="6" t="s">
        <v>387</v>
      </c>
      <c r="K7" s="6" t="str">
        <f t="shared" si="0"/>
        <v>Neha Kapoor</v>
      </c>
      <c r="L7" s="6">
        <f t="shared" si="1"/>
        <v>1</v>
      </c>
      <c r="M7" s="28">
        <f t="shared" si="2"/>
        <v>69761.100000000006</v>
      </c>
    </row>
    <row r="8" spans="1:13" x14ac:dyDescent="0.3">
      <c r="A8" s="6" t="s">
        <v>396</v>
      </c>
      <c r="B8" s="6" t="s">
        <v>395</v>
      </c>
      <c r="C8" s="6" t="s">
        <v>394</v>
      </c>
      <c r="D8" s="6" t="s">
        <v>390</v>
      </c>
      <c r="E8" s="6" t="s">
        <v>360</v>
      </c>
      <c r="F8" s="6">
        <v>64501.86</v>
      </c>
      <c r="G8" s="6">
        <v>1</v>
      </c>
      <c r="J8" s="6" t="s">
        <v>383</v>
      </c>
      <c r="K8" s="6" t="str">
        <f t="shared" si="0"/>
        <v>Arjun Sharma</v>
      </c>
      <c r="L8" s="6">
        <f t="shared" si="1"/>
        <v>5</v>
      </c>
      <c r="M8" s="28">
        <f t="shared" si="2"/>
        <v>31399.599999999999</v>
      </c>
    </row>
    <row r="9" spans="1:13" x14ac:dyDescent="0.3">
      <c r="A9" s="6" t="s">
        <v>393</v>
      </c>
      <c r="B9" s="6" t="s">
        <v>392</v>
      </c>
      <c r="C9" s="6" t="s">
        <v>391</v>
      </c>
      <c r="D9" s="6" t="s">
        <v>390</v>
      </c>
      <c r="E9" s="6" t="s">
        <v>368</v>
      </c>
      <c r="F9" s="6">
        <v>61418.64</v>
      </c>
      <c r="G9" s="6">
        <v>1</v>
      </c>
      <c r="J9" s="6" t="s">
        <v>375</v>
      </c>
      <c r="K9" s="6" t="str">
        <f t="shared" si="0"/>
        <v>Anjali Mehta</v>
      </c>
      <c r="L9" s="6">
        <f t="shared" si="1"/>
        <v>2</v>
      </c>
      <c r="M9" s="28">
        <f t="shared" si="2"/>
        <v>32961.199999999997</v>
      </c>
    </row>
    <row r="10" spans="1:13" x14ac:dyDescent="0.3">
      <c r="A10" s="6" t="s">
        <v>389</v>
      </c>
      <c r="B10" s="6" t="s">
        <v>76</v>
      </c>
      <c r="C10" s="6" t="s">
        <v>388</v>
      </c>
      <c r="D10" s="6" t="s">
        <v>361</v>
      </c>
      <c r="E10" s="6" t="s">
        <v>368</v>
      </c>
      <c r="F10" s="6">
        <v>5379.97</v>
      </c>
      <c r="G10" s="6">
        <v>2</v>
      </c>
      <c r="J10" s="6" t="s">
        <v>367</v>
      </c>
      <c r="K10" s="6" t="str">
        <f t="shared" si="0"/>
        <v>Anjali Jain</v>
      </c>
      <c r="L10" s="6">
        <f t="shared" si="1"/>
        <v>4</v>
      </c>
      <c r="M10" s="28">
        <f t="shared" si="2"/>
        <v>32137.43</v>
      </c>
    </row>
    <row r="11" spans="1:13" x14ac:dyDescent="0.3">
      <c r="A11" s="6" t="s">
        <v>387</v>
      </c>
      <c r="B11" s="6" t="s">
        <v>386</v>
      </c>
      <c r="C11" s="6" t="s">
        <v>385</v>
      </c>
      <c r="D11" s="6" t="s">
        <v>384</v>
      </c>
      <c r="E11" s="6" t="s">
        <v>360</v>
      </c>
      <c r="F11" s="6">
        <v>69761.100000000006</v>
      </c>
      <c r="G11" s="6">
        <v>1</v>
      </c>
    </row>
    <row r="12" spans="1:13" x14ac:dyDescent="0.3">
      <c r="A12" s="6" t="s">
        <v>383</v>
      </c>
      <c r="B12" s="6" t="s">
        <v>10</v>
      </c>
      <c r="C12" s="6" t="s">
        <v>382</v>
      </c>
      <c r="D12" s="6" t="s">
        <v>381</v>
      </c>
      <c r="E12" s="6" t="s">
        <v>360</v>
      </c>
      <c r="F12" s="6">
        <v>31399.599999999999</v>
      </c>
      <c r="G12" s="6">
        <v>5</v>
      </c>
    </row>
    <row r="13" spans="1:13" x14ac:dyDescent="0.3">
      <c r="A13" s="6" t="s">
        <v>380</v>
      </c>
      <c r="B13" s="6" t="s">
        <v>379</v>
      </c>
      <c r="C13" s="6" t="s">
        <v>378</v>
      </c>
      <c r="D13" s="6" t="s">
        <v>377</v>
      </c>
      <c r="E13" s="6" t="s">
        <v>376</v>
      </c>
      <c r="F13" s="6">
        <v>18167.939999999999</v>
      </c>
      <c r="G13" s="6">
        <v>2</v>
      </c>
    </row>
    <row r="14" spans="1:13" x14ac:dyDescent="0.3">
      <c r="A14" s="6" t="s">
        <v>375</v>
      </c>
      <c r="B14" s="6" t="s">
        <v>374</v>
      </c>
      <c r="C14" s="6" t="s">
        <v>373</v>
      </c>
      <c r="D14" s="6" t="s">
        <v>369</v>
      </c>
      <c r="E14" s="6" t="s">
        <v>360</v>
      </c>
      <c r="F14" s="6">
        <v>32961.199999999997</v>
      </c>
      <c r="G14" s="6">
        <v>2</v>
      </c>
    </row>
    <row r="15" spans="1:13" x14ac:dyDescent="0.3">
      <c r="A15" s="6" t="s">
        <v>372</v>
      </c>
      <c r="B15" s="6" t="s">
        <v>371</v>
      </c>
      <c r="C15" s="6" t="s">
        <v>370</v>
      </c>
      <c r="D15" s="6" t="s">
        <v>369</v>
      </c>
      <c r="E15" s="6" t="s">
        <v>368</v>
      </c>
      <c r="F15" s="6">
        <v>46556.77</v>
      </c>
      <c r="G15" s="6">
        <v>4</v>
      </c>
    </row>
    <row r="16" spans="1:13" x14ac:dyDescent="0.3">
      <c r="A16" s="6" t="s">
        <v>367</v>
      </c>
      <c r="B16" s="6" t="s">
        <v>366</v>
      </c>
      <c r="C16" s="6" t="s">
        <v>365</v>
      </c>
      <c r="D16" s="6" t="s">
        <v>364</v>
      </c>
      <c r="E16" s="6" t="s">
        <v>360</v>
      </c>
      <c r="F16" s="6">
        <v>32137.43</v>
      </c>
      <c r="G16" s="6">
        <v>4</v>
      </c>
    </row>
    <row r="17" spans="1:7" x14ac:dyDescent="0.3">
      <c r="A17" s="6" t="s">
        <v>363</v>
      </c>
      <c r="B17" s="6" t="s">
        <v>116</v>
      </c>
      <c r="C17" s="6" t="s">
        <v>362</v>
      </c>
      <c r="D17" s="6" t="s">
        <v>361</v>
      </c>
      <c r="E17" s="6" t="s">
        <v>360</v>
      </c>
      <c r="F17" s="6">
        <v>10041.370000000001</v>
      </c>
      <c r="G17" s="6">
        <v>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I41"/>
  <sheetViews>
    <sheetView zoomScale="80" zoomScaleNormal="80" workbookViewId="0"/>
  </sheetViews>
  <sheetFormatPr defaultRowHeight="14.4" x14ac:dyDescent="0.3"/>
  <cols>
    <col min="1" max="1" width="8.88671875" bestFit="1" customWidth="1"/>
    <col min="2" max="2" width="13.77734375" bestFit="1" customWidth="1"/>
    <col min="3" max="3" width="17.77734375" bestFit="1" customWidth="1"/>
    <col min="4" max="4" width="14.44140625" bestFit="1" customWidth="1"/>
    <col min="5" max="5" width="10.44140625" bestFit="1" customWidth="1"/>
    <col min="6" max="6" width="15.6640625" bestFit="1" customWidth="1"/>
    <col min="7" max="7" width="17.88671875" style="29" customWidth="1"/>
    <col min="8" max="8" width="56" style="29" customWidth="1"/>
    <col min="9" max="9" width="50.88671875" style="29" customWidth="1"/>
  </cols>
  <sheetData>
    <row r="1" spans="1:9" x14ac:dyDescent="0.3">
      <c r="A1" s="6" t="s">
        <v>0</v>
      </c>
      <c r="B1" s="6" t="s">
        <v>1</v>
      </c>
      <c r="C1" s="6" t="s">
        <v>2</v>
      </c>
      <c r="D1" s="6" t="s">
        <v>3</v>
      </c>
      <c r="E1" s="6" t="s">
        <v>4</v>
      </c>
      <c r="F1" s="6" t="s">
        <v>5</v>
      </c>
      <c r="G1" s="33" t="s">
        <v>497</v>
      </c>
      <c r="H1" s="33" t="s">
        <v>498</v>
      </c>
      <c r="I1" s="33" t="s">
        <v>499</v>
      </c>
    </row>
    <row r="2" spans="1:9" ht="187.2" x14ac:dyDescent="0.3">
      <c r="A2" s="6">
        <v>101</v>
      </c>
      <c r="B2" s="6" t="s">
        <v>6</v>
      </c>
      <c r="C2" s="6" t="s">
        <v>7</v>
      </c>
      <c r="D2" s="6" t="s">
        <v>8</v>
      </c>
      <c r="E2" s="6" t="s">
        <v>9</v>
      </c>
      <c r="F2" s="31">
        <v>46024</v>
      </c>
      <c r="G2" s="32" t="str">
        <f t="shared" ref="G2:G41" si="0">IF(E2="Pending","Payment Reminder - "&amp;D2&amp;" Course Fee Due",IF(E2="Paid","Payment Confirmation - "&amp;D2&amp;" Course Fee Received",""))</f>
        <v>Payment Reminder - Power BI Course Fee Due</v>
      </c>
      <c r="H2" s="32" t="str">
        <f t="shared" ref="H2:H41" si="1">IF(E2="Pending","Dear "&amp;B2&amp;","&amp;CHAR(10)&amp;CHAR(10)&amp;"This is a friendly reminder that your fee for the "&amp;D2&amp;" course enrolled on "&amp;TEXT(F2,"YYYY-MM-DD")&amp;" is still pending."&amp;CHAR(10)&amp;CHAR(10)&amp;"Please complete your payment at your earliest convenience to continue uninterrupted access to course materials."&amp;CHAR(10)&amp;CHAR(10)&amp;"If you have already made the payment, please disregard this message."&amp;CHAR(10)&amp;CHAR(10)&amp;"Best regards,"&amp;CHAR(10)&amp;"Training Team",IF(E2="Paid","Dear "&amp;B2&amp;","&amp;CHAR(10)&amp;CHAR(10)&amp;"Thank you for your payment! We are pleased to confirm that your fee for the "&amp;D2&amp;" course enrolled on "&amp;TEXT(F2,"YYYY-MM-DD")&amp;" has been successfully received."&amp;CHAR(10)&amp;CHAR(10)&amp;"You now have full access to all course materials and resources."&amp;CHAR(10)&amp;CHAR(10)&amp;"We wish you the best in your learning journey!"&amp;CHAR(10)&amp;CHAR(10)&amp;"Best regards,"&amp;CHAR(10)&amp;"Training Team",""))</f>
        <v>Dear Nikhil Gupta,
This is a friendly reminder that your fee for the Power BI course enrolled on 2026-01-02 is still pending.
Please complete your payment at your earliest convenience to continue uninterrupted access to course materials.
If you have already made the payment, please disregard this message.
Best regards,
Training Team</v>
      </c>
      <c r="I2" s="32" t="str">
        <f t="shared" ref="I2:I41" si="2">IF(D2="Advanced Excel","Dear "&amp;B2&amp;",
We hope you're enjoying your Advanced Excel course that you enrolled in on "&amp;TEXT(F2,"YYYY-MM-DD")&amp;_xlfn._LONGTEXT(".
We wanted to check in on your progress and see if you have any questions about the course material. Our team is here to support your learning journey!
Here are some resources you might find helpful:
• Access our Excel formula library
• Join our weekly"," live Q&amp;A sessions
• Download practice worksheets
Feel free to reach out if you need any assistance.
Best regards,
Training Team"),"")</f>
        <v/>
      </c>
    </row>
    <row r="3" spans="1:9" ht="187.2" x14ac:dyDescent="0.3">
      <c r="A3" s="6">
        <v>102</v>
      </c>
      <c r="B3" s="6" t="s">
        <v>10</v>
      </c>
      <c r="C3" s="6" t="s">
        <v>11</v>
      </c>
      <c r="D3" s="6" t="s">
        <v>12</v>
      </c>
      <c r="E3" s="6" t="s">
        <v>9</v>
      </c>
      <c r="F3" s="31">
        <v>46025</v>
      </c>
      <c r="G3" s="32" t="str">
        <f t="shared" si="0"/>
        <v>Payment Reminder - GST Mastery Course Fee Due</v>
      </c>
      <c r="H3" s="32" t="str">
        <f t="shared" si="1"/>
        <v>Dear Arjun Sharma,
This is a friendly reminder that your fee for the GST Mastery course enrolled on 2026-01-03 is still pending.
Please complete your payment at your earliest convenience to continue uninterrupted access to course materials.
If you have already made the payment, please disregard this message.
Best regards,
Training Team</v>
      </c>
      <c r="I3" s="32" t="str">
        <f t="shared" si="2"/>
        <v/>
      </c>
    </row>
    <row r="4" spans="1:9" ht="187.2" x14ac:dyDescent="0.3">
      <c r="A4" s="6">
        <v>103</v>
      </c>
      <c r="B4" s="6" t="s">
        <v>13</v>
      </c>
      <c r="C4" s="6" t="s">
        <v>14</v>
      </c>
      <c r="D4" s="6" t="s">
        <v>15</v>
      </c>
      <c r="E4" s="6" t="s">
        <v>9</v>
      </c>
      <c r="F4" s="31">
        <v>46026</v>
      </c>
      <c r="G4" s="32" t="str">
        <f t="shared" si="0"/>
        <v>Payment Reminder - Tally Prime Course Fee Due</v>
      </c>
      <c r="H4" s="32" t="str">
        <f t="shared" si="1"/>
        <v>Dear Deepak Verma,
This is a friendly reminder that your fee for the Tally Prime course enrolled on 2026-01-04 is still pending.
Please complete your payment at your earliest convenience to continue uninterrupted access to course materials.
If you have already made the payment, please disregard this message.
Best regards,
Training Team</v>
      </c>
      <c r="I4" s="32" t="str">
        <f t="shared" si="2"/>
        <v/>
      </c>
    </row>
    <row r="5" spans="1:9" ht="187.2" x14ac:dyDescent="0.3">
      <c r="A5" s="6">
        <v>104</v>
      </c>
      <c r="B5" s="6" t="s">
        <v>16</v>
      </c>
      <c r="C5" s="6" t="s">
        <v>17</v>
      </c>
      <c r="D5" s="6" t="s">
        <v>8</v>
      </c>
      <c r="E5" s="6" t="s">
        <v>9</v>
      </c>
      <c r="F5" s="31">
        <v>46027</v>
      </c>
      <c r="G5" s="32" t="str">
        <f t="shared" si="0"/>
        <v>Payment Reminder - Power BI Course Fee Due</v>
      </c>
      <c r="H5" s="32" t="str">
        <f t="shared" si="1"/>
        <v>Dear Rahul Gupta,
This is a friendly reminder that your fee for the Power BI course enrolled on 2026-01-05 is still pending.
Please complete your payment at your earliest convenience to continue uninterrupted access to course materials.
If you have already made the payment, please disregard this message.
Best regards,
Training Team</v>
      </c>
      <c r="I5" s="32" t="str">
        <f t="shared" si="2"/>
        <v/>
      </c>
    </row>
    <row r="6" spans="1:9" ht="259.2" x14ac:dyDescent="0.3">
      <c r="A6" s="6">
        <v>105</v>
      </c>
      <c r="B6" s="6" t="s">
        <v>18</v>
      </c>
      <c r="C6" s="6" t="s">
        <v>19</v>
      </c>
      <c r="D6" s="6" t="s">
        <v>20</v>
      </c>
      <c r="E6" s="6" t="s">
        <v>9</v>
      </c>
      <c r="F6" s="31">
        <v>46028</v>
      </c>
      <c r="G6" s="32" t="str">
        <f t="shared" si="0"/>
        <v>Payment Reminder - Advanced Excel Course Fee Due</v>
      </c>
      <c r="H6" s="32" t="str">
        <f t="shared" si="1"/>
        <v>Dear Neha Singh,
This is a friendly reminder that your fee for the Advanced Excel course enrolled on 2026-01-06 is still pending.
Please complete your payment at your earliest convenience to continue uninterrupted access to course materials.
If you have already made the payment, please disregard this message.
Best regards,
Training Team</v>
      </c>
      <c r="I6" s="32" t="str">
        <f t="shared" si="2"/>
        <v>Dear Neha Singh,
We hope you're enjoying your Advanced Excel course that you enrolled in on 2026-01-06.
We wanted to check in on your progress and see if you have any questions about the course material. Our team is here to support your learning journey!
Here are some resources you might find helpful:
• Access our Excel formula library
• Join our weekly live Q&amp;A sessions
• Download practice worksheets
Feel free to reach out if you need any assistance.
Best regards,
Training Team</v>
      </c>
    </row>
    <row r="7" spans="1:9" ht="172.8" x14ac:dyDescent="0.3">
      <c r="A7" s="6">
        <v>106</v>
      </c>
      <c r="B7" s="6" t="s">
        <v>21</v>
      </c>
      <c r="C7" s="6" t="s">
        <v>22</v>
      </c>
      <c r="D7" s="6" t="s">
        <v>15</v>
      </c>
      <c r="E7" s="6" t="s">
        <v>23</v>
      </c>
      <c r="F7" s="31">
        <v>46029</v>
      </c>
      <c r="G7" s="32" t="str">
        <f t="shared" si="0"/>
        <v>Payment Confirmation - Tally Prime Course Fee Received</v>
      </c>
      <c r="H7" s="32" t="str">
        <f t="shared" si="1"/>
        <v>Dear Deepak Gupta,
Thank you for your payment! We are pleased to confirm that your fee for the Tally Prime course enrolled on 2026-01-07 has been successfully received.
You now have full access to all course materials and resources.
We wish you the best in your learning journey!
Best regards,
Training Team</v>
      </c>
      <c r="I7" s="32" t="str">
        <f t="shared" si="2"/>
        <v/>
      </c>
    </row>
    <row r="8" spans="1:9" ht="172.8" x14ac:dyDescent="0.3">
      <c r="A8" s="6">
        <v>107</v>
      </c>
      <c r="B8" s="6" t="s">
        <v>24</v>
      </c>
      <c r="C8" s="6" t="s">
        <v>25</v>
      </c>
      <c r="D8" s="6" t="s">
        <v>8</v>
      </c>
      <c r="E8" s="6" t="s">
        <v>23</v>
      </c>
      <c r="F8" s="31">
        <v>46030</v>
      </c>
      <c r="G8" s="32" t="str">
        <f t="shared" si="0"/>
        <v>Payment Confirmation - Power BI Course Fee Received</v>
      </c>
      <c r="H8" s="32" t="str">
        <f t="shared" si="1"/>
        <v>Dear Vikas Singh,
Thank you for your payment! We are pleased to confirm that your fee for the Power BI course enrolled on 2026-01-08 has been successfully received.
You now have full access to all course materials and resources.
We wish you the best in your learning journey!
Best regards,
Training Team</v>
      </c>
      <c r="I8" s="32" t="str">
        <f t="shared" si="2"/>
        <v/>
      </c>
    </row>
    <row r="9" spans="1:9" ht="187.2" x14ac:dyDescent="0.3">
      <c r="A9" s="6">
        <v>108</v>
      </c>
      <c r="B9" s="6" t="s">
        <v>26</v>
      </c>
      <c r="C9" s="6" t="s">
        <v>27</v>
      </c>
      <c r="D9" s="6" t="s">
        <v>15</v>
      </c>
      <c r="E9" s="6" t="s">
        <v>9</v>
      </c>
      <c r="F9" s="31">
        <v>46031</v>
      </c>
      <c r="G9" s="32" t="str">
        <f t="shared" si="0"/>
        <v>Payment Reminder - Tally Prime Course Fee Due</v>
      </c>
      <c r="H9" s="32" t="str">
        <f t="shared" si="1"/>
        <v>Dear Aman Gupta,
This is a friendly reminder that your fee for the Tally Prime course enrolled on 2026-01-09 is still pending.
Please complete your payment at your earliest convenience to continue uninterrupted access to course materials.
If you have already made the payment, please disregard this message.
Best regards,
Training Team</v>
      </c>
      <c r="I9" s="32" t="str">
        <f t="shared" si="2"/>
        <v/>
      </c>
    </row>
    <row r="10" spans="1:9" ht="187.2" x14ac:dyDescent="0.3">
      <c r="A10" s="6">
        <v>109</v>
      </c>
      <c r="B10" s="6" t="s">
        <v>28</v>
      </c>
      <c r="C10" s="6" t="s">
        <v>29</v>
      </c>
      <c r="D10" s="6" t="s">
        <v>12</v>
      </c>
      <c r="E10" s="6" t="s">
        <v>9</v>
      </c>
      <c r="F10" s="31">
        <v>46032</v>
      </c>
      <c r="G10" s="32" t="str">
        <f t="shared" si="0"/>
        <v>Payment Reminder - GST Mastery Course Fee Due</v>
      </c>
      <c r="H10" s="32" t="str">
        <f t="shared" si="1"/>
        <v>Dear Karan Gupta,
This is a friendly reminder that your fee for the GST Mastery course enrolled on 2026-01-10 is still pending.
Please complete your payment at your earliest convenience to continue uninterrupted access to course materials.
If you have already made the payment, please disregard this message.
Best regards,
Training Team</v>
      </c>
      <c r="I10" s="32" t="str">
        <f t="shared" si="2"/>
        <v/>
      </c>
    </row>
    <row r="11" spans="1:9" ht="259.2" x14ac:dyDescent="0.3">
      <c r="A11" s="6">
        <v>110</v>
      </c>
      <c r="B11" s="6" t="s">
        <v>30</v>
      </c>
      <c r="C11" s="6" t="s">
        <v>31</v>
      </c>
      <c r="D11" s="6" t="s">
        <v>20</v>
      </c>
      <c r="E11" s="6" t="s">
        <v>9</v>
      </c>
      <c r="F11" s="31">
        <v>46033</v>
      </c>
      <c r="G11" s="32" t="str">
        <f t="shared" si="0"/>
        <v>Payment Reminder - Advanced Excel Course Fee Due</v>
      </c>
      <c r="H11" s="32" t="str">
        <f t="shared" si="1"/>
        <v>Dear Karan Verma,
This is a friendly reminder that your fee for the Advanced Excel course enrolled on 2026-01-11 is still pending.
Please complete your payment at your earliest convenience to continue uninterrupted access to course materials.
If you have already made the payment, please disregard this message.
Best regards,
Training Team</v>
      </c>
      <c r="I11" s="32" t="str">
        <f t="shared" si="2"/>
        <v>Dear Karan Verma,
We hope you're enjoying your Advanced Excel course that you enrolled in on 2026-01-11.
We wanted to check in on your progress and see if you have any questions about the course material. Our team is here to support your learning journey!
Here are some resources you might find helpful:
• Access our Excel formula library
• Join our weekly live Q&amp;A sessions
• Download practice worksheets
Feel free to reach out if you need any assistance.
Best regards,
Training Team</v>
      </c>
    </row>
    <row r="12" spans="1:9" ht="172.8" x14ac:dyDescent="0.3">
      <c r="A12" s="6">
        <v>111</v>
      </c>
      <c r="B12" s="6" t="s">
        <v>32</v>
      </c>
      <c r="C12" s="6" t="s">
        <v>33</v>
      </c>
      <c r="D12" s="6" t="s">
        <v>8</v>
      </c>
      <c r="E12" s="6" t="s">
        <v>23</v>
      </c>
      <c r="F12" s="31">
        <v>46034</v>
      </c>
      <c r="G12" s="32" t="str">
        <f t="shared" si="0"/>
        <v>Payment Confirmation - Power BI Course Fee Received</v>
      </c>
      <c r="H12" s="32" t="str">
        <f t="shared" si="1"/>
        <v>Dear Priya Gupta,
Thank you for your payment! We are pleased to confirm that your fee for the Power BI course enrolled on 2026-01-12 has been successfully received.
You now have full access to all course materials and resources.
We wish you the best in your learning journey!
Best regards,
Training Team</v>
      </c>
      <c r="I12" s="32" t="str">
        <f t="shared" si="2"/>
        <v/>
      </c>
    </row>
    <row r="13" spans="1:9" ht="172.8" x14ac:dyDescent="0.3">
      <c r="A13" s="6">
        <v>112</v>
      </c>
      <c r="B13" s="6" t="s">
        <v>34</v>
      </c>
      <c r="C13" s="6" t="s">
        <v>35</v>
      </c>
      <c r="D13" s="6" t="s">
        <v>12</v>
      </c>
      <c r="E13" s="6" t="s">
        <v>23</v>
      </c>
      <c r="F13" s="31">
        <v>46035</v>
      </c>
      <c r="G13" s="32" t="str">
        <f t="shared" si="0"/>
        <v>Payment Confirmation - GST Mastery Course Fee Received</v>
      </c>
      <c r="H13" s="32" t="str">
        <f t="shared" si="1"/>
        <v>Dear Aman Singh,
Thank you for your payment! We are pleased to confirm that your fee for the GST Mastery course enrolled on 2026-01-13 has been successfully received.
You now have full access to all course materials and resources.
We wish you the best in your learning journey!
Best regards,
Training Team</v>
      </c>
      <c r="I13" s="32" t="str">
        <f t="shared" si="2"/>
        <v/>
      </c>
    </row>
    <row r="14" spans="1:9" ht="259.2" x14ac:dyDescent="0.3">
      <c r="A14" s="6">
        <v>113</v>
      </c>
      <c r="B14" s="6" t="s">
        <v>36</v>
      </c>
      <c r="C14" s="6" t="s">
        <v>37</v>
      </c>
      <c r="D14" s="6" t="s">
        <v>20</v>
      </c>
      <c r="E14" s="6" t="s">
        <v>9</v>
      </c>
      <c r="F14" s="31">
        <v>46036</v>
      </c>
      <c r="G14" s="32" t="str">
        <f t="shared" si="0"/>
        <v>Payment Reminder - Advanced Excel Course Fee Due</v>
      </c>
      <c r="H14" s="32" t="str">
        <f t="shared" si="1"/>
        <v>Dear Anita Verma,
This is a friendly reminder that your fee for the Advanced Excel course enrolled on 2026-01-14 is still pending.
Please complete your payment at your earliest convenience to continue uninterrupted access to course materials.
If you have already made the payment, please disregard this message.
Best regards,
Training Team</v>
      </c>
      <c r="I14" s="32" t="str">
        <f t="shared" si="2"/>
        <v>Dear Anita Verma,
We hope you're enjoying your Advanced Excel course that you enrolled in on 2026-01-14.
We wanted to check in on your progress and see if you have any questions about the course material. Our team is here to support your learning journey!
Here are some resources you might find helpful:
• Access our Excel formula library
• Join our weekly live Q&amp;A sessions
• Download practice worksheets
Feel free to reach out if you need any assistance.
Best regards,
Training Team</v>
      </c>
    </row>
    <row r="15" spans="1:9" ht="172.8" x14ac:dyDescent="0.3">
      <c r="A15" s="6">
        <v>114</v>
      </c>
      <c r="B15" s="6" t="s">
        <v>38</v>
      </c>
      <c r="C15" s="6" t="s">
        <v>39</v>
      </c>
      <c r="D15" s="6" t="s">
        <v>12</v>
      </c>
      <c r="E15" s="6" t="s">
        <v>23</v>
      </c>
      <c r="F15" s="31">
        <v>46037</v>
      </c>
      <c r="G15" s="32" t="str">
        <f t="shared" si="0"/>
        <v>Payment Confirmation - GST Mastery Course Fee Received</v>
      </c>
      <c r="H15" s="32" t="str">
        <f t="shared" si="1"/>
        <v>Dear Rahul Sharma,
Thank you for your payment! We are pleased to confirm that your fee for the GST Mastery course enrolled on 2026-01-15 has been successfully received.
You now have full access to all course materials and resources.
We wish you the best in your learning journey!
Best regards,
Training Team</v>
      </c>
      <c r="I15" s="32" t="str">
        <f t="shared" si="2"/>
        <v/>
      </c>
    </row>
    <row r="16" spans="1:9" ht="187.2" x14ac:dyDescent="0.3">
      <c r="A16" s="6">
        <v>115</v>
      </c>
      <c r="B16" s="6" t="s">
        <v>40</v>
      </c>
      <c r="C16" s="6" t="s">
        <v>41</v>
      </c>
      <c r="D16" s="6" t="s">
        <v>12</v>
      </c>
      <c r="E16" s="6" t="s">
        <v>9</v>
      </c>
      <c r="F16" s="31">
        <v>46038</v>
      </c>
      <c r="G16" s="32" t="str">
        <f t="shared" si="0"/>
        <v>Payment Reminder - GST Mastery Course Fee Due</v>
      </c>
      <c r="H16" s="32" t="str">
        <f t="shared" si="1"/>
        <v>Dear Simran Singh,
This is a friendly reminder that your fee for the GST Mastery course enrolled on 2026-01-16 is still pending.
Please complete your payment at your earliest convenience to continue uninterrupted access to course materials.
If you have already made the payment, please disregard this message.
Best regards,
Training Team</v>
      </c>
      <c r="I16" s="32" t="str">
        <f t="shared" si="2"/>
        <v/>
      </c>
    </row>
    <row r="17" spans="1:9" ht="187.2" x14ac:dyDescent="0.3">
      <c r="A17" s="6">
        <v>116</v>
      </c>
      <c r="B17" s="6" t="s">
        <v>36</v>
      </c>
      <c r="C17" s="6" t="s">
        <v>42</v>
      </c>
      <c r="D17" s="6" t="s">
        <v>15</v>
      </c>
      <c r="E17" s="6" t="s">
        <v>9</v>
      </c>
      <c r="F17" s="31">
        <v>46039</v>
      </c>
      <c r="G17" s="32" t="str">
        <f t="shared" si="0"/>
        <v>Payment Reminder - Tally Prime Course Fee Due</v>
      </c>
      <c r="H17" s="32" t="str">
        <f t="shared" si="1"/>
        <v>Dear Anita Verma,
This is a friendly reminder that your fee for the Tally Prime course enrolled on 2026-01-17 is still pending.
Please complete your payment at your earliest convenience to continue uninterrupted access to course materials.
If you have already made the payment, please disregard this message.
Best regards,
Training Team</v>
      </c>
      <c r="I17" s="32" t="str">
        <f t="shared" si="2"/>
        <v/>
      </c>
    </row>
    <row r="18" spans="1:9" ht="259.2" x14ac:dyDescent="0.3">
      <c r="A18" s="6">
        <v>117</v>
      </c>
      <c r="B18" s="6" t="s">
        <v>43</v>
      </c>
      <c r="C18" s="6" t="s">
        <v>44</v>
      </c>
      <c r="D18" s="6" t="s">
        <v>20</v>
      </c>
      <c r="E18" s="6" t="s">
        <v>23</v>
      </c>
      <c r="F18" s="31">
        <v>46040</v>
      </c>
      <c r="G18" s="32" t="str">
        <f t="shared" si="0"/>
        <v>Payment Confirmation - Advanced Excel Course Fee Received</v>
      </c>
      <c r="H18" s="32" t="str">
        <f t="shared" si="1"/>
        <v>Dear Vikas Sharma,
Thank you for your payment! We are pleased to confirm that your fee for the Advanced Excel course enrolled on 2026-01-18 has been successfully received.
You now have full access to all course materials and resources.
We wish you the best in your learning journey!
Best regards,
Training Team</v>
      </c>
      <c r="I18" s="32" t="str">
        <f t="shared" si="2"/>
        <v>Dear Vikas Sharma,
We hope you're enjoying your Advanced Excel course that you enrolled in on 2026-01-18.
We wanted to check in on your progress and see if you have any questions about the course material. Our team is here to support your learning journey!
Here are some resources you might find helpful:
• Access our Excel formula library
• Join our weekly live Q&amp;A sessions
• Download practice worksheets
Feel free to reach out if you need any assistance.
Best regards,
Training Team</v>
      </c>
    </row>
    <row r="19" spans="1:9" ht="187.2" x14ac:dyDescent="0.3">
      <c r="A19" s="6">
        <v>118</v>
      </c>
      <c r="B19" s="6" t="s">
        <v>45</v>
      </c>
      <c r="C19" s="6" t="s">
        <v>46</v>
      </c>
      <c r="D19" s="6" t="s">
        <v>8</v>
      </c>
      <c r="E19" s="6" t="s">
        <v>9</v>
      </c>
      <c r="F19" s="31">
        <v>46041</v>
      </c>
      <c r="G19" s="32" t="str">
        <f t="shared" si="0"/>
        <v>Payment Reminder - Power BI Course Fee Due</v>
      </c>
      <c r="H19" s="32" t="str">
        <f t="shared" si="1"/>
        <v>Dear Nikhil Sharma,
This is a friendly reminder that your fee for the Power BI course enrolled on 2026-01-19 is still pending.
Please complete your payment at your earliest convenience to continue uninterrupted access to course materials.
If you have already made the payment, please disregard this message.
Best regards,
Training Team</v>
      </c>
      <c r="I19" s="32" t="str">
        <f t="shared" si="2"/>
        <v/>
      </c>
    </row>
    <row r="20" spans="1:9" ht="172.8" x14ac:dyDescent="0.3">
      <c r="A20" s="6">
        <v>119</v>
      </c>
      <c r="B20" s="6" t="s">
        <v>38</v>
      </c>
      <c r="C20" s="6" t="s">
        <v>47</v>
      </c>
      <c r="D20" s="6" t="s">
        <v>8</v>
      </c>
      <c r="E20" s="6" t="s">
        <v>23</v>
      </c>
      <c r="F20" s="31">
        <v>46042</v>
      </c>
      <c r="G20" s="32" t="str">
        <f t="shared" si="0"/>
        <v>Payment Confirmation - Power BI Course Fee Received</v>
      </c>
      <c r="H20" s="32" t="str">
        <f t="shared" si="1"/>
        <v>Dear Rahul Sharma,
Thank you for your payment! We are pleased to confirm that your fee for the Power BI course enrolled on 2026-01-20 has been successfully received.
You now have full access to all course materials and resources.
We wish you the best in your learning journey!
Best regards,
Training Team</v>
      </c>
      <c r="I20" s="32" t="str">
        <f t="shared" si="2"/>
        <v/>
      </c>
    </row>
    <row r="21" spans="1:9" ht="172.8" x14ac:dyDescent="0.3">
      <c r="A21" s="6">
        <v>120</v>
      </c>
      <c r="B21" s="6" t="s">
        <v>48</v>
      </c>
      <c r="C21" s="6" t="s">
        <v>49</v>
      </c>
      <c r="D21" s="6" t="s">
        <v>12</v>
      </c>
      <c r="E21" s="6" t="s">
        <v>23</v>
      </c>
      <c r="F21" s="31">
        <v>46043</v>
      </c>
      <c r="G21" s="32" t="str">
        <f t="shared" si="0"/>
        <v>Payment Confirmation - GST Mastery Course Fee Received</v>
      </c>
      <c r="H21" s="32" t="str">
        <f t="shared" si="1"/>
        <v>Dear Arjun Verma,
Thank you for your payment! We are pleased to confirm that your fee for the GST Mastery course enrolled on 2026-01-21 has been successfully received.
You now have full access to all course materials and resources.
We wish you the best in your learning journey!
Best regards,
Training Team</v>
      </c>
      <c r="I21" s="32" t="str">
        <f t="shared" si="2"/>
        <v/>
      </c>
    </row>
    <row r="22" spans="1:9" ht="259.2" x14ac:dyDescent="0.3">
      <c r="A22" s="6">
        <v>121</v>
      </c>
      <c r="B22" s="6" t="s">
        <v>50</v>
      </c>
      <c r="C22" s="6" t="s">
        <v>51</v>
      </c>
      <c r="D22" s="6" t="s">
        <v>20</v>
      </c>
      <c r="E22" s="6" t="s">
        <v>9</v>
      </c>
      <c r="F22" s="31">
        <v>46044</v>
      </c>
      <c r="G22" s="32" t="str">
        <f t="shared" si="0"/>
        <v>Payment Reminder - Advanced Excel Course Fee Due</v>
      </c>
      <c r="H22" s="32" t="str">
        <f t="shared" si="1"/>
        <v>Dear Simran Verma,
This is a friendly reminder that your fee for the Advanced Excel course enrolled on 2026-01-22 is still pending.
Please complete your payment at your earliest convenience to continue uninterrupted access to course materials.
If you have already made the payment, please disregard this message.
Best regards,
Training Team</v>
      </c>
      <c r="I22" s="32" t="str">
        <f t="shared" si="2"/>
        <v>Dear Simran Verma,
We hope you're enjoying your Advanced Excel course that you enrolled in on 2026-01-22.
We wanted to check in on your progress and see if you have any questions about the course material. Our team is here to support your learning journey!
Here are some resources you might find helpful:
• Access our Excel formula library
• Join our weekly live Q&amp;A sessions
• Download practice worksheets
Feel free to reach out if you need any assistance.
Best regards,
Training Team</v>
      </c>
    </row>
    <row r="23" spans="1:9" ht="172.8" x14ac:dyDescent="0.3">
      <c r="A23" s="6">
        <v>122</v>
      </c>
      <c r="B23" s="6" t="s">
        <v>52</v>
      </c>
      <c r="C23" s="6" t="s">
        <v>53</v>
      </c>
      <c r="D23" s="6" t="s">
        <v>12</v>
      </c>
      <c r="E23" s="6" t="s">
        <v>23</v>
      </c>
      <c r="F23" s="31">
        <v>46045</v>
      </c>
      <c r="G23" s="32" t="str">
        <f t="shared" si="0"/>
        <v>Payment Confirmation - GST Mastery Course Fee Received</v>
      </c>
      <c r="H23" s="32" t="str">
        <f t="shared" si="1"/>
        <v>Dear Riya Singh,
Thank you for your payment! We are pleased to confirm that your fee for the GST Mastery course enrolled on 2026-01-23 has been successfully received.
You now have full access to all course materials and resources.
We wish you the best in your learning journey!
Best regards,
Training Team</v>
      </c>
      <c r="I23" s="32" t="str">
        <f t="shared" si="2"/>
        <v/>
      </c>
    </row>
    <row r="24" spans="1:9" ht="172.8" x14ac:dyDescent="0.3">
      <c r="A24" s="6">
        <v>123</v>
      </c>
      <c r="B24" s="6" t="s">
        <v>54</v>
      </c>
      <c r="C24" s="6" t="s">
        <v>55</v>
      </c>
      <c r="D24" s="6" t="s">
        <v>8</v>
      </c>
      <c r="E24" s="6" t="s">
        <v>23</v>
      </c>
      <c r="F24" s="31">
        <v>46046</v>
      </c>
      <c r="G24" s="32" t="str">
        <f t="shared" si="0"/>
        <v>Payment Confirmation - Power BI Course Fee Received</v>
      </c>
      <c r="H24" s="32" t="str">
        <f t="shared" si="1"/>
        <v>Dear Riya Verma,
Thank you for your payment! We are pleased to confirm that your fee for the Power BI course enrolled on 2026-01-24 has been successfully received.
You now have full access to all course materials and resources.
We wish you the best in your learning journey!
Best regards,
Training Team</v>
      </c>
      <c r="I24" s="32" t="str">
        <f t="shared" si="2"/>
        <v/>
      </c>
    </row>
    <row r="25" spans="1:9" ht="187.2" x14ac:dyDescent="0.3">
      <c r="A25" s="6">
        <v>124</v>
      </c>
      <c r="B25" s="6" t="s">
        <v>38</v>
      </c>
      <c r="C25" s="6" t="s">
        <v>56</v>
      </c>
      <c r="D25" s="6" t="s">
        <v>8</v>
      </c>
      <c r="E25" s="6" t="s">
        <v>9</v>
      </c>
      <c r="F25" s="31">
        <v>46047</v>
      </c>
      <c r="G25" s="32" t="str">
        <f t="shared" si="0"/>
        <v>Payment Reminder - Power BI Course Fee Due</v>
      </c>
      <c r="H25" s="32" t="str">
        <f t="shared" si="1"/>
        <v>Dear Rahul Sharma,
This is a friendly reminder that your fee for the Power BI course enrolled on 2026-01-25 is still pending.
Please complete your payment at your earliest convenience to continue uninterrupted access to course materials.
If you have already made the payment, please disregard this message.
Best regards,
Training Team</v>
      </c>
      <c r="I25" s="32" t="str">
        <f t="shared" si="2"/>
        <v/>
      </c>
    </row>
    <row r="26" spans="1:9" ht="187.2" x14ac:dyDescent="0.3">
      <c r="A26" s="6">
        <v>125</v>
      </c>
      <c r="B26" s="6" t="s">
        <v>57</v>
      </c>
      <c r="C26" s="6" t="s">
        <v>58</v>
      </c>
      <c r="D26" s="6" t="s">
        <v>12</v>
      </c>
      <c r="E26" s="6" t="s">
        <v>9</v>
      </c>
      <c r="F26" s="31">
        <v>46048</v>
      </c>
      <c r="G26" s="32" t="str">
        <f t="shared" si="0"/>
        <v>Payment Reminder - GST Mastery Course Fee Due</v>
      </c>
      <c r="H26" s="32" t="str">
        <f t="shared" si="1"/>
        <v>Dear Aman Verma,
This is a friendly reminder that your fee for the GST Mastery course enrolled on 2026-01-26 is still pending.
Please complete your payment at your earliest convenience to continue uninterrupted access to course materials.
If you have already made the payment, please disregard this message.
Best regards,
Training Team</v>
      </c>
      <c r="I26" s="32" t="str">
        <f t="shared" si="2"/>
        <v/>
      </c>
    </row>
    <row r="27" spans="1:9" ht="187.2" x14ac:dyDescent="0.3">
      <c r="A27" s="6">
        <v>126</v>
      </c>
      <c r="B27" s="6" t="s">
        <v>52</v>
      </c>
      <c r="C27" s="6" t="s">
        <v>59</v>
      </c>
      <c r="D27" s="6" t="s">
        <v>12</v>
      </c>
      <c r="E27" s="6" t="s">
        <v>9</v>
      </c>
      <c r="F27" s="31">
        <v>46049</v>
      </c>
      <c r="G27" s="32" t="str">
        <f t="shared" si="0"/>
        <v>Payment Reminder - GST Mastery Course Fee Due</v>
      </c>
      <c r="H27" s="32" t="str">
        <f t="shared" si="1"/>
        <v>Dear Riya Singh,
This is a friendly reminder that your fee for the GST Mastery course enrolled on 2026-01-27 is still pending.
Please complete your payment at your earliest convenience to continue uninterrupted access to course materials.
If you have already made the payment, please disregard this message.
Best regards,
Training Team</v>
      </c>
      <c r="I27" s="32" t="str">
        <f t="shared" si="2"/>
        <v/>
      </c>
    </row>
    <row r="28" spans="1:9" ht="172.8" x14ac:dyDescent="0.3">
      <c r="A28" s="6">
        <v>127</v>
      </c>
      <c r="B28" s="6" t="s">
        <v>16</v>
      </c>
      <c r="C28" s="6" t="s">
        <v>60</v>
      </c>
      <c r="D28" s="6" t="s">
        <v>12</v>
      </c>
      <c r="E28" s="6" t="s">
        <v>23</v>
      </c>
      <c r="F28" s="31">
        <v>46050</v>
      </c>
      <c r="G28" s="32" t="str">
        <f t="shared" si="0"/>
        <v>Payment Confirmation - GST Mastery Course Fee Received</v>
      </c>
      <c r="H28" s="32" t="str">
        <f t="shared" si="1"/>
        <v>Dear Rahul Gupta,
Thank you for your payment! We are pleased to confirm that your fee for the GST Mastery course enrolled on 2026-01-28 has been successfully received.
You now have full access to all course materials and resources.
We wish you the best in your learning journey!
Best regards,
Training Team</v>
      </c>
      <c r="I28" s="32" t="str">
        <f t="shared" si="2"/>
        <v/>
      </c>
    </row>
    <row r="29" spans="1:9" ht="172.8" x14ac:dyDescent="0.3">
      <c r="A29" s="6">
        <v>128</v>
      </c>
      <c r="B29" s="6" t="s">
        <v>21</v>
      </c>
      <c r="C29" s="6" t="s">
        <v>61</v>
      </c>
      <c r="D29" s="6" t="s">
        <v>15</v>
      </c>
      <c r="E29" s="6" t="s">
        <v>23</v>
      </c>
      <c r="F29" s="31">
        <v>46051</v>
      </c>
      <c r="G29" s="32" t="str">
        <f t="shared" si="0"/>
        <v>Payment Confirmation - Tally Prime Course Fee Received</v>
      </c>
      <c r="H29" s="32" t="str">
        <f t="shared" si="1"/>
        <v>Dear Deepak Gupta,
Thank you for your payment! We are pleased to confirm that your fee for the Tally Prime course enrolled on 2026-01-29 has been successfully received.
You now have full access to all course materials and resources.
We wish you the best in your learning journey!
Best regards,
Training Team</v>
      </c>
      <c r="I29" s="32" t="str">
        <f t="shared" si="2"/>
        <v/>
      </c>
    </row>
    <row r="30" spans="1:9" ht="259.2" x14ac:dyDescent="0.3">
      <c r="A30" s="6">
        <v>129</v>
      </c>
      <c r="B30" s="6" t="s">
        <v>62</v>
      </c>
      <c r="C30" s="6" t="s">
        <v>63</v>
      </c>
      <c r="D30" s="6" t="s">
        <v>20</v>
      </c>
      <c r="E30" s="6" t="s">
        <v>9</v>
      </c>
      <c r="F30" s="31">
        <v>46052</v>
      </c>
      <c r="G30" s="32" t="str">
        <f t="shared" si="0"/>
        <v>Payment Reminder - Advanced Excel Course Fee Due</v>
      </c>
      <c r="H30" s="32" t="str">
        <f t="shared" si="1"/>
        <v>Dear Suresh Gupta,
This is a friendly reminder that your fee for the Advanced Excel course enrolled on 2026-01-30 is still pending.
Please complete your payment at your earliest convenience to continue uninterrupted access to course materials.
If you have already made the payment, please disregard this message.
Best regards,
Training Team</v>
      </c>
      <c r="I30" s="32" t="str">
        <f t="shared" si="2"/>
        <v>Dear Suresh Gupta,
We hope you're enjoying your Advanced Excel course that you enrolled in on 2026-01-30.
We wanted to check in on your progress and see if you have any questions about the course material. Our team is here to support your learning journey!
Here are some resources you might find helpful:
• Access our Excel formula library
• Join our weekly live Q&amp;A sessions
• Download practice worksheets
Feel free to reach out if you need any assistance.
Best regards,
Training Team</v>
      </c>
    </row>
    <row r="31" spans="1:9" ht="259.2" x14ac:dyDescent="0.3">
      <c r="A31" s="6">
        <v>130</v>
      </c>
      <c r="B31" s="6" t="s">
        <v>32</v>
      </c>
      <c r="C31" s="6" t="s">
        <v>64</v>
      </c>
      <c r="D31" s="6" t="s">
        <v>20</v>
      </c>
      <c r="E31" s="6" t="s">
        <v>23</v>
      </c>
      <c r="F31" s="31">
        <v>46053</v>
      </c>
      <c r="G31" s="32" t="str">
        <f t="shared" si="0"/>
        <v>Payment Confirmation - Advanced Excel Course Fee Received</v>
      </c>
      <c r="H31" s="32" t="str">
        <f t="shared" si="1"/>
        <v>Dear Priya Gupta,
Thank you for your payment! We are pleased to confirm that your fee for the Advanced Excel course enrolled on 2026-01-31 has been successfully received.
You now have full access to all course materials and resources.
We wish you the best in your learning journey!
Best regards,
Training Team</v>
      </c>
      <c r="I31" s="32" t="str">
        <f t="shared" si="2"/>
        <v>Dear Priya Gupta,
We hope you're enjoying your Advanced Excel course that you enrolled in on 2026-01-31.
We wanted to check in on your progress and see if you have any questions about the course material. Our team is here to support your learning journey!
Here are some resources you might find helpful:
• Access our Excel formula library
• Join our weekly live Q&amp;A sessions
• Download practice worksheets
Feel free to reach out if you need any assistance.
Best regards,
Training Team</v>
      </c>
    </row>
    <row r="32" spans="1:9" ht="172.8" x14ac:dyDescent="0.3">
      <c r="A32" s="6">
        <v>131</v>
      </c>
      <c r="B32" s="6" t="s">
        <v>10</v>
      </c>
      <c r="C32" s="6" t="s">
        <v>65</v>
      </c>
      <c r="D32" s="6" t="s">
        <v>8</v>
      </c>
      <c r="E32" s="6" t="s">
        <v>23</v>
      </c>
      <c r="F32" s="31">
        <v>46054</v>
      </c>
      <c r="G32" s="32" t="str">
        <f t="shared" si="0"/>
        <v>Payment Confirmation - Power BI Course Fee Received</v>
      </c>
      <c r="H32" s="32" t="str">
        <f t="shared" si="1"/>
        <v>Dear Arjun Sharma,
Thank you for your payment! We are pleased to confirm that your fee for the Power BI course enrolled on 2026-02-01 has been successfully received.
You now have full access to all course materials and resources.
We wish you the best in your learning journey!
Best regards,
Training Team</v>
      </c>
      <c r="I32" s="32" t="str">
        <f t="shared" si="2"/>
        <v/>
      </c>
    </row>
    <row r="33" spans="1:9" ht="187.2" x14ac:dyDescent="0.3">
      <c r="A33" s="6">
        <v>132</v>
      </c>
      <c r="B33" s="6" t="s">
        <v>66</v>
      </c>
      <c r="C33" s="6" t="s">
        <v>67</v>
      </c>
      <c r="D33" s="6" t="s">
        <v>12</v>
      </c>
      <c r="E33" s="6" t="s">
        <v>9</v>
      </c>
      <c r="F33" s="31">
        <v>46055</v>
      </c>
      <c r="G33" s="32" t="str">
        <f t="shared" si="0"/>
        <v>Payment Reminder - GST Mastery Course Fee Due</v>
      </c>
      <c r="H33" s="32" t="str">
        <f t="shared" si="1"/>
        <v>Dear Pooja Singh,
This is a friendly reminder that your fee for the GST Mastery course enrolled on 2026-02-02 is still pending.
Please complete your payment at your earliest convenience to continue uninterrupted access to course materials.
If you have already made the payment, please disregard this message.
Best regards,
Training Team</v>
      </c>
      <c r="I33" s="32" t="str">
        <f t="shared" si="2"/>
        <v/>
      </c>
    </row>
    <row r="34" spans="1:9" ht="187.2" x14ac:dyDescent="0.3">
      <c r="A34" s="6">
        <v>133</v>
      </c>
      <c r="B34" s="6" t="s">
        <v>68</v>
      </c>
      <c r="C34" s="6" t="s">
        <v>69</v>
      </c>
      <c r="D34" s="6" t="s">
        <v>12</v>
      </c>
      <c r="E34" s="6" t="s">
        <v>9</v>
      </c>
      <c r="F34" s="31">
        <v>46056</v>
      </c>
      <c r="G34" s="32" t="str">
        <f t="shared" si="0"/>
        <v>Payment Reminder - GST Mastery Course Fee Due</v>
      </c>
      <c r="H34" s="32" t="str">
        <f t="shared" si="1"/>
        <v>Dear Priya Verma,
This is a friendly reminder that your fee for the GST Mastery course enrolled on 2026-02-03 is still pending.
Please complete your payment at your earliest convenience to continue uninterrupted access to course materials.
If you have already made the payment, please disregard this message.
Best regards,
Training Team</v>
      </c>
      <c r="I34" s="32" t="str">
        <f t="shared" si="2"/>
        <v/>
      </c>
    </row>
    <row r="35" spans="1:9" ht="187.2" x14ac:dyDescent="0.3">
      <c r="A35" s="6">
        <v>134</v>
      </c>
      <c r="B35" s="6" t="s">
        <v>45</v>
      </c>
      <c r="C35" s="6" t="s">
        <v>70</v>
      </c>
      <c r="D35" s="6" t="s">
        <v>12</v>
      </c>
      <c r="E35" s="6" t="s">
        <v>9</v>
      </c>
      <c r="F35" s="31">
        <v>46057</v>
      </c>
      <c r="G35" s="32" t="str">
        <f t="shared" si="0"/>
        <v>Payment Reminder - GST Mastery Course Fee Due</v>
      </c>
      <c r="H35" s="32" t="str">
        <f t="shared" si="1"/>
        <v>Dear Nikhil Sharma,
This is a friendly reminder that your fee for the GST Mastery course enrolled on 2026-02-04 is still pending.
Please complete your payment at your earliest convenience to continue uninterrupted access to course materials.
If you have already made the payment, please disregard this message.
Best regards,
Training Team</v>
      </c>
      <c r="I35" s="32" t="str">
        <f t="shared" si="2"/>
        <v/>
      </c>
    </row>
    <row r="36" spans="1:9" ht="172.8" x14ac:dyDescent="0.3">
      <c r="A36" s="6">
        <v>135</v>
      </c>
      <c r="B36" s="6" t="s">
        <v>57</v>
      </c>
      <c r="C36" s="6" t="s">
        <v>71</v>
      </c>
      <c r="D36" s="6" t="s">
        <v>15</v>
      </c>
      <c r="E36" s="6" t="s">
        <v>23</v>
      </c>
      <c r="F36" s="31">
        <v>46058</v>
      </c>
      <c r="G36" s="32" t="str">
        <f t="shared" si="0"/>
        <v>Payment Confirmation - Tally Prime Course Fee Received</v>
      </c>
      <c r="H36" s="32" t="str">
        <f t="shared" si="1"/>
        <v>Dear Aman Verma,
Thank you for your payment! We are pleased to confirm that your fee for the Tally Prime course enrolled on 2026-02-05 has been successfully received.
You now have full access to all course materials and resources.
We wish you the best in your learning journey!
Best regards,
Training Team</v>
      </c>
      <c r="I36" s="32" t="str">
        <f t="shared" si="2"/>
        <v/>
      </c>
    </row>
    <row r="37" spans="1:9" ht="172.8" x14ac:dyDescent="0.3">
      <c r="A37" s="6">
        <v>136</v>
      </c>
      <c r="B37" s="6" t="s">
        <v>72</v>
      </c>
      <c r="C37" s="6" t="s">
        <v>73</v>
      </c>
      <c r="D37" s="6" t="s">
        <v>8</v>
      </c>
      <c r="E37" s="6" t="s">
        <v>23</v>
      </c>
      <c r="F37" s="31">
        <v>46059</v>
      </c>
      <c r="G37" s="32" t="str">
        <f t="shared" si="0"/>
        <v>Payment Confirmation - Power BI Course Fee Received</v>
      </c>
      <c r="H37" s="32" t="str">
        <f t="shared" si="1"/>
        <v>Dear Riya Sharma,
Thank you for your payment! We are pleased to confirm that your fee for the Power BI course enrolled on 2026-02-06 has been successfully received.
You now have full access to all course materials and resources.
We wish you the best in your learning journey!
Best regards,
Training Team</v>
      </c>
      <c r="I37" s="32" t="str">
        <f t="shared" si="2"/>
        <v/>
      </c>
    </row>
    <row r="38" spans="1:9" ht="172.8" x14ac:dyDescent="0.3">
      <c r="A38" s="6">
        <v>137</v>
      </c>
      <c r="B38" s="6" t="s">
        <v>74</v>
      </c>
      <c r="C38" s="6" t="s">
        <v>75</v>
      </c>
      <c r="D38" s="6" t="s">
        <v>8</v>
      </c>
      <c r="E38" s="6" t="s">
        <v>23</v>
      </c>
      <c r="F38" s="31">
        <v>46060</v>
      </c>
      <c r="G38" s="32" t="str">
        <f t="shared" si="0"/>
        <v>Payment Confirmation - Power BI Course Fee Received</v>
      </c>
      <c r="H38" s="32" t="str">
        <f t="shared" si="1"/>
        <v>Dear Neha Verma,
Thank you for your payment! We are pleased to confirm that your fee for the Power BI course enrolled on 2026-02-07 has been successfully received.
You now have full access to all course materials and resources.
We wish you the best in your learning journey!
Best regards,
Training Team</v>
      </c>
      <c r="I38" s="32" t="str">
        <f t="shared" si="2"/>
        <v/>
      </c>
    </row>
    <row r="39" spans="1:9" ht="172.8" x14ac:dyDescent="0.3">
      <c r="A39" s="6">
        <v>138</v>
      </c>
      <c r="B39" s="6" t="s">
        <v>76</v>
      </c>
      <c r="C39" s="6" t="s">
        <v>77</v>
      </c>
      <c r="D39" s="6" t="s">
        <v>15</v>
      </c>
      <c r="E39" s="6" t="s">
        <v>23</v>
      </c>
      <c r="F39" s="31">
        <v>46061</v>
      </c>
      <c r="G39" s="32" t="str">
        <f t="shared" si="0"/>
        <v>Payment Confirmation - Tally Prime Course Fee Received</v>
      </c>
      <c r="H39" s="32" t="str">
        <f t="shared" si="1"/>
        <v>Dear Vikas Gupta,
Thank you for your payment! We are pleased to confirm that your fee for the Tally Prime course enrolled on 2026-02-08 has been successfully received.
You now have full access to all course materials and resources.
We wish you the best in your learning journey!
Best regards,
Training Team</v>
      </c>
      <c r="I39" s="32" t="str">
        <f t="shared" si="2"/>
        <v/>
      </c>
    </row>
    <row r="40" spans="1:9" ht="172.8" x14ac:dyDescent="0.3">
      <c r="A40" s="6">
        <v>139</v>
      </c>
      <c r="B40" s="6" t="s">
        <v>48</v>
      </c>
      <c r="C40" s="6" t="s">
        <v>78</v>
      </c>
      <c r="D40" s="6" t="s">
        <v>12</v>
      </c>
      <c r="E40" s="6" t="s">
        <v>23</v>
      </c>
      <c r="F40" s="31">
        <v>46062</v>
      </c>
      <c r="G40" s="32" t="str">
        <f t="shared" si="0"/>
        <v>Payment Confirmation - GST Mastery Course Fee Received</v>
      </c>
      <c r="H40" s="32" t="str">
        <f t="shared" si="1"/>
        <v>Dear Arjun Verma,
Thank you for your payment! We are pleased to confirm that your fee for the GST Mastery course enrolled on 2026-02-09 has been successfully received.
You now have full access to all course materials and resources.
We wish you the best in your learning journey!
Best regards,
Training Team</v>
      </c>
      <c r="I40" s="32" t="str">
        <f t="shared" si="2"/>
        <v/>
      </c>
    </row>
    <row r="41" spans="1:9" ht="259.2" x14ac:dyDescent="0.3">
      <c r="A41" s="6">
        <v>140</v>
      </c>
      <c r="B41" s="6" t="s">
        <v>40</v>
      </c>
      <c r="C41" s="6" t="s">
        <v>79</v>
      </c>
      <c r="D41" s="6" t="s">
        <v>20</v>
      </c>
      <c r="E41" s="6" t="s">
        <v>23</v>
      </c>
      <c r="F41" s="31">
        <v>46063</v>
      </c>
      <c r="G41" s="32" t="str">
        <f t="shared" si="0"/>
        <v>Payment Confirmation - Advanced Excel Course Fee Received</v>
      </c>
      <c r="H41" s="32" t="str">
        <f t="shared" si="1"/>
        <v>Dear Simran Singh,
Thank you for your payment! We are pleased to confirm that your fee for the Advanced Excel course enrolled on 2026-02-10 has been successfully received.
You now have full access to all course materials and resources.
We wish you the best in your learning journey!
Best regards,
Training Team</v>
      </c>
      <c r="I41" s="32" t="str">
        <f t="shared" si="2"/>
        <v>Dear Simran Singh,
We hope you're enjoying your Advanced Excel course that you enrolled in on 2026-02-10.
We wanted to check in on your progress and see if you have any questions about the course material. Our team is here to support your learning journey!
Here are some resources you might find helpful:
• Access our Excel formula library
• Join our weekly live Q&amp;A sessions
• Download practice worksheets
Feel free to reach out if you need any assistance.
Best regards,
Training Team</v>
      </c>
    </row>
  </sheetData>
  <conditionalFormatting sqref="A2:H41">
    <cfRule type="expression" dxfId="41" priority="3">
      <formula>$E2="Pending"</formula>
    </cfRule>
    <cfRule type="expression" dxfId="40" priority="4">
      <formula>$E2="Paid"</formula>
    </cfRule>
  </conditionalFormatting>
  <conditionalFormatting sqref="A2:I41">
    <cfRule type="expression" dxfId="39" priority="5">
      <formula>$D2="Advanced Excel"</formula>
    </cfRule>
  </conditionalFormatting>
  <conditionalFormatting sqref="D2:D41">
    <cfRule type="containsText" dxfId="38" priority="6" operator="containsText" text="Advanced Excel">
      <formula>NOT(ISERROR(SEARCH("Advanced Excel",D2)))</formula>
    </cfRule>
  </conditionalFormatting>
  <conditionalFormatting sqref="E2:E41">
    <cfRule type="containsText" dxfId="37" priority="1" operator="containsText" text="Pending">
      <formula>NOT(ISERROR(SEARCH("Pending",E2)))</formula>
    </cfRule>
    <cfRule type="containsText" dxfId="36" priority="2" operator="containsText" text="Paid">
      <formula>NOT(ISERROR(SEARCH("Paid",E2)))</formula>
    </cfRule>
  </conditionalFormatting>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79998168889431442"/>
  </sheetPr>
  <dimension ref="A1:C51"/>
  <sheetViews>
    <sheetView workbookViewId="0"/>
  </sheetViews>
  <sheetFormatPr defaultRowHeight="14.4" x14ac:dyDescent="0.3"/>
  <cols>
    <col min="1" max="3" width="15.88671875" customWidth="1"/>
  </cols>
  <sheetData>
    <row r="1" spans="1:3" x14ac:dyDescent="0.3">
      <c r="A1" s="30" t="s">
        <v>298</v>
      </c>
      <c r="B1" s="30" t="s">
        <v>299</v>
      </c>
      <c r="C1" s="30" t="s">
        <v>109</v>
      </c>
    </row>
    <row r="2" spans="1:3" x14ac:dyDescent="0.3">
      <c r="A2" s="6" t="s">
        <v>500</v>
      </c>
      <c r="B2" s="6" t="s">
        <v>501</v>
      </c>
      <c r="C2" s="34">
        <v>7801</v>
      </c>
    </row>
    <row r="3" spans="1:3" x14ac:dyDescent="0.3">
      <c r="A3" s="6" t="s">
        <v>502</v>
      </c>
      <c r="B3" s="6" t="s">
        <v>503</v>
      </c>
      <c r="C3" s="34">
        <v>19278</v>
      </c>
    </row>
    <row r="4" spans="1:3" x14ac:dyDescent="0.3">
      <c r="A4" s="6" t="s">
        <v>504</v>
      </c>
      <c r="B4" s="6" t="s">
        <v>300</v>
      </c>
      <c r="C4" s="34">
        <v>11295</v>
      </c>
    </row>
    <row r="5" spans="1:3" x14ac:dyDescent="0.3">
      <c r="A5" s="6" t="s">
        <v>505</v>
      </c>
      <c r="B5" s="6" t="s">
        <v>501</v>
      </c>
      <c r="C5" s="34">
        <v>19200</v>
      </c>
    </row>
    <row r="6" spans="1:3" x14ac:dyDescent="0.3">
      <c r="A6" s="6" t="s">
        <v>502</v>
      </c>
      <c r="B6" s="6" t="s">
        <v>503</v>
      </c>
      <c r="C6" s="34">
        <v>8411</v>
      </c>
    </row>
    <row r="7" spans="1:3" x14ac:dyDescent="0.3">
      <c r="A7" s="6" t="s">
        <v>500</v>
      </c>
      <c r="B7" s="6" t="s">
        <v>501</v>
      </c>
      <c r="C7" s="34">
        <v>13574</v>
      </c>
    </row>
    <row r="8" spans="1:3" x14ac:dyDescent="0.3">
      <c r="A8" s="6" t="s">
        <v>504</v>
      </c>
      <c r="B8" s="6" t="s">
        <v>506</v>
      </c>
      <c r="C8" s="34">
        <v>7700</v>
      </c>
    </row>
    <row r="9" spans="1:3" x14ac:dyDescent="0.3">
      <c r="A9" s="6" t="s">
        <v>502</v>
      </c>
      <c r="B9" s="6" t="s">
        <v>501</v>
      </c>
      <c r="C9" s="34">
        <v>12815</v>
      </c>
    </row>
    <row r="10" spans="1:3" x14ac:dyDescent="0.3">
      <c r="A10" s="6" t="s">
        <v>500</v>
      </c>
      <c r="B10" s="6" t="s">
        <v>503</v>
      </c>
      <c r="C10" s="34">
        <v>5871</v>
      </c>
    </row>
    <row r="11" spans="1:3" x14ac:dyDescent="0.3">
      <c r="A11" s="6" t="s">
        <v>502</v>
      </c>
      <c r="B11" s="6" t="s">
        <v>501</v>
      </c>
      <c r="C11" s="34">
        <v>7169</v>
      </c>
    </row>
    <row r="12" spans="1:3" x14ac:dyDescent="0.3">
      <c r="A12" s="6" t="s">
        <v>502</v>
      </c>
      <c r="B12" s="6" t="s">
        <v>503</v>
      </c>
      <c r="C12" s="34">
        <v>5626</v>
      </c>
    </row>
    <row r="13" spans="1:3" x14ac:dyDescent="0.3">
      <c r="A13" s="6" t="s">
        <v>502</v>
      </c>
      <c r="B13" s="6" t="s">
        <v>506</v>
      </c>
      <c r="C13" s="34">
        <v>12058</v>
      </c>
    </row>
    <row r="14" spans="1:3" x14ac:dyDescent="0.3">
      <c r="A14" s="6" t="s">
        <v>504</v>
      </c>
      <c r="B14" s="6" t="s">
        <v>501</v>
      </c>
      <c r="C14" s="34">
        <v>14208</v>
      </c>
    </row>
    <row r="15" spans="1:3" x14ac:dyDescent="0.3">
      <c r="A15" s="6" t="s">
        <v>502</v>
      </c>
      <c r="B15" s="6" t="s">
        <v>506</v>
      </c>
      <c r="C15" s="34">
        <v>14796</v>
      </c>
    </row>
    <row r="16" spans="1:3" x14ac:dyDescent="0.3">
      <c r="A16" s="6" t="s">
        <v>502</v>
      </c>
      <c r="B16" s="6" t="s">
        <v>503</v>
      </c>
      <c r="C16" s="34">
        <v>16051</v>
      </c>
    </row>
    <row r="17" spans="1:3" x14ac:dyDescent="0.3">
      <c r="A17" s="6" t="s">
        <v>502</v>
      </c>
      <c r="B17" s="6" t="s">
        <v>503</v>
      </c>
      <c r="C17" s="34">
        <v>18974</v>
      </c>
    </row>
    <row r="18" spans="1:3" x14ac:dyDescent="0.3">
      <c r="A18" s="6" t="s">
        <v>500</v>
      </c>
      <c r="B18" s="6" t="s">
        <v>503</v>
      </c>
      <c r="C18" s="34">
        <v>17470</v>
      </c>
    </row>
    <row r="19" spans="1:3" x14ac:dyDescent="0.3">
      <c r="A19" s="6" t="s">
        <v>500</v>
      </c>
      <c r="B19" s="6" t="s">
        <v>300</v>
      </c>
      <c r="C19" s="34">
        <v>13590</v>
      </c>
    </row>
    <row r="20" spans="1:3" x14ac:dyDescent="0.3">
      <c r="A20" s="6" t="s">
        <v>502</v>
      </c>
      <c r="B20" s="6" t="s">
        <v>503</v>
      </c>
      <c r="C20" s="34">
        <v>7125</v>
      </c>
    </row>
    <row r="21" spans="1:3" x14ac:dyDescent="0.3">
      <c r="A21" s="6" t="s">
        <v>500</v>
      </c>
      <c r="B21" s="6" t="s">
        <v>300</v>
      </c>
      <c r="C21" s="34">
        <v>6719</v>
      </c>
    </row>
    <row r="22" spans="1:3" x14ac:dyDescent="0.3">
      <c r="A22" s="6" t="s">
        <v>500</v>
      </c>
      <c r="B22" s="6" t="s">
        <v>300</v>
      </c>
      <c r="C22" s="34">
        <v>14877</v>
      </c>
    </row>
    <row r="23" spans="1:3" x14ac:dyDescent="0.3">
      <c r="A23" s="6" t="s">
        <v>502</v>
      </c>
      <c r="B23" s="6" t="s">
        <v>506</v>
      </c>
      <c r="C23" s="34">
        <v>13681</v>
      </c>
    </row>
    <row r="24" spans="1:3" x14ac:dyDescent="0.3">
      <c r="A24" s="6" t="s">
        <v>505</v>
      </c>
      <c r="B24" s="6" t="s">
        <v>503</v>
      </c>
      <c r="C24" s="34">
        <v>15476</v>
      </c>
    </row>
    <row r="25" spans="1:3" x14ac:dyDescent="0.3">
      <c r="A25" s="6" t="s">
        <v>504</v>
      </c>
      <c r="B25" s="6" t="s">
        <v>503</v>
      </c>
      <c r="C25" s="34">
        <v>5109</v>
      </c>
    </row>
    <row r="26" spans="1:3" x14ac:dyDescent="0.3">
      <c r="A26" s="6" t="s">
        <v>502</v>
      </c>
      <c r="B26" s="6" t="s">
        <v>503</v>
      </c>
      <c r="C26" s="34">
        <v>7285</v>
      </c>
    </row>
    <row r="27" spans="1:3" x14ac:dyDescent="0.3">
      <c r="A27" s="6" t="s">
        <v>504</v>
      </c>
      <c r="B27" s="6" t="s">
        <v>501</v>
      </c>
      <c r="C27" s="34">
        <v>7220</v>
      </c>
    </row>
    <row r="28" spans="1:3" x14ac:dyDescent="0.3">
      <c r="A28" s="6" t="s">
        <v>505</v>
      </c>
      <c r="B28" s="6" t="s">
        <v>501</v>
      </c>
      <c r="C28" s="34">
        <v>8225</v>
      </c>
    </row>
    <row r="29" spans="1:3" x14ac:dyDescent="0.3">
      <c r="A29" s="6" t="s">
        <v>502</v>
      </c>
      <c r="B29" s="6" t="s">
        <v>300</v>
      </c>
      <c r="C29" s="34">
        <v>13443</v>
      </c>
    </row>
    <row r="30" spans="1:3" x14ac:dyDescent="0.3">
      <c r="A30" s="6" t="s">
        <v>502</v>
      </c>
      <c r="B30" s="6" t="s">
        <v>503</v>
      </c>
      <c r="C30" s="34">
        <v>16368</v>
      </c>
    </row>
    <row r="31" spans="1:3" x14ac:dyDescent="0.3">
      <c r="A31" s="6" t="s">
        <v>505</v>
      </c>
      <c r="B31" s="6" t="s">
        <v>300</v>
      </c>
      <c r="C31" s="34">
        <v>19740</v>
      </c>
    </row>
    <row r="32" spans="1:3" x14ac:dyDescent="0.3">
      <c r="A32" s="6" t="s">
        <v>505</v>
      </c>
      <c r="B32" s="6" t="s">
        <v>503</v>
      </c>
      <c r="C32" s="34">
        <v>7342</v>
      </c>
    </row>
    <row r="33" spans="1:3" x14ac:dyDescent="0.3">
      <c r="A33" s="6" t="s">
        <v>504</v>
      </c>
      <c r="B33" s="6" t="s">
        <v>506</v>
      </c>
      <c r="C33" s="34">
        <v>12671</v>
      </c>
    </row>
    <row r="34" spans="1:3" x14ac:dyDescent="0.3">
      <c r="A34" s="6" t="s">
        <v>505</v>
      </c>
      <c r="B34" s="6" t="s">
        <v>503</v>
      </c>
      <c r="C34" s="34">
        <v>8694</v>
      </c>
    </row>
    <row r="35" spans="1:3" x14ac:dyDescent="0.3">
      <c r="A35" s="6" t="s">
        <v>500</v>
      </c>
      <c r="B35" s="6" t="s">
        <v>503</v>
      </c>
      <c r="C35" s="34">
        <v>11211</v>
      </c>
    </row>
    <row r="36" spans="1:3" x14ac:dyDescent="0.3">
      <c r="A36" s="6" t="s">
        <v>500</v>
      </c>
      <c r="B36" s="6" t="s">
        <v>506</v>
      </c>
      <c r="C36" s="34">
        <v>14816</v>
      </c>
    </row>
    <row r="37" spans="1:3" x14ac:dyDescent="0.3">
      <c r="A37" s="6" t="s">
        <v>502</v>
      </c>
      <c r="B37" s="6" t="s">
        <v>501</v>
      </c>
      <c r="C37" s="34">
        <v>9659</v>
      </c>
    </row>
    <row r="38" spans="1:3" x14ac:dyDescent="0.3">
      <c r="A38" s="6" t="s">
        <v>505</v>
      </c>
      <c r="B38" s="6" t="s">
        <v>501</v>
      </c>
      <c r="C38" s="34">
        <v>7750</v>
      </c>
    </row>
    <row r="39" spans="1:3" x14ac:dyDescent="0.3">
      <c r="A39" s="6" t="s">
        <v>502</v>
      </c>
      <c r="B39" s="6" t="s">
        <v>501</v>
      </c>
      <c r="C39" s="34">
        <v>12937</v>
      </c>
    </row>
    <row r="40" spans="1:3" x14ac:dyDescent="0.3">
      <c r="A40" s="6" t="s">
        <v>504</v>
      </c>
      <c r="B40" s="6" t="s">
        <v>506</v>
      </c>
      <c r="C40" s="34">
        <v>19195</v>
      </c>
    </row>
    <row r="41" spans="1:3" x14ac:dyDescent="0.3">
      <c r="A41" s="6" t="s">
        <v>502</v>
      </c>
      <c r="B41" s="6" t="s">
        <v>506</v>
      </c>
      <c r="C41" s="34">
        <v>11859</v>
      </c>
    </row>
    <row r="43" spans="1:3" ht="18" x14ac:dyDescent="0.35">
      <c r="A43" s="35" t="s">
        <v>507</v>
      </c>
    </row>
    <row r="44" spans="1:3" x14ac:dyDescent="0.3">
      <c r="A44" s="8" t="s">
        <v>508</v>
      </c>
      <c r="B44">
        <v>44</v>
      </c>
    </row>
    <row r="45" spans="1:3" x14ac:dyDescent="0.3">
      <c r="A45" s="8" t="s">
        <v>509</v>
      </c>
      <c r="B45">
        <v>40</v>
      </c>
    </row>
    <row r="46" spans="1:3" x14ac:dyDescent="0.3">
      <c r="A46" s="8" t="s">
        <v>510</v>
      </c>
      <c r="B46">
        <v>4</v>
      </c>
    </row>
    <row r="47" spans="1:3" x14ac:dyDescent="0.3">
      <c r="A47" s="8" t="s">
        <v>511</v>
      </c>
      <c r="B47">
        <v>4</v>
      </c>
    </row>
    <row r="48" spans="1:3" x14ac:dyDescent="0.3">
      <c r="A48" s="8" t="s">
        <v>512</v>
      </c>
      <c r="B48">
        <v>4</v>
      </c>
    </row>
    <row r="50" spans="1:1" x14ac:dyDescent="0.3">
      <c r="A50" s="8" t="s">
        <v>513</v>
      </c>
    </row>
    <row r="51" spans="1:1" x14ac:dyDescent="0.3">
      <c r="A51" s="8" t="s">
        <v>514</v>
      </c>
    </row>
  </sheetData>
  <autoFilter ref="A1:C41" xr:uid="{00000000-0001-0000-0900-000000000000}"/>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G41"/>
  <sheetViews>
    <sheetView workbookViewId="0"/>
  </sheetViews>
  <sheetFormatPr defaultRowHeight="14.4" x14ac:dyDescent="0.3"/>
  <cols>
    <col min="1" max="6" width="14.6640625" customWidth="1"/>
    <col min="7" max="7" width="10.109375" bestFit="1" customWidth="1"/>
  </cols>
  <sheetData>
    <row r="1" spans="1:7" x14ac:dyDescent="0.3">
      <c r="A1" t="s">
        <v>100</v>
      </c>
      <c r="B1" t="s">
        <v>101</v>
      </c>
      <c r="C1" t="s">
        <v>102</v>
      </c>
      <c r="D1" t="s">
        <v>103</v>
      </c>
      <c r="E1" t="s">
        <v>104</v>
      </c>
      <c r="F1" t="s">
        <v>105</v>
      </c>
      <c r="G1" s="12" t="s">
        <v>515</v>
      </c>
    </row>
    <row r="2" spans="1:7" x14ac:dyDescent="0.3">
      <c r="A2">
        <v>201</v>
      </c>
      <c r="B2" t="s">
        <v>106</v>
      </c>
      <c r="C2" t="s">
        <v>107</v>
      </c>
      <c r="D2">
        <v>45902</v>
      </c>
      <c r="E2">
        <v>5986</v>
      </c>
      <c r="F2">
        <v>2200</v>
      </c>
      <c r="G2" s="36">
        <f t="shared" ref="G2:G41" si="0">D2+E2-F2</f>
        <v>49688</v>
      </c>
    </row>
    <row r="3" spans="1:7" x14ac:dyDescent="0.3">
      <c r="A3">
        <v>202</v>
      </c>
      <c r="B3" t="s">
        <v>108</v>
      </c>
      <c r="C3" t="s">
        <v>109</v>
      </c>
      <c r="D3">
        <v>53315</v>
      </c>
      <c r="E3">
        <v>2868</v>
      </c>
      <c r="F3">
        <v>1636</v>
      </c>
      <c r="G3" s="36">
        <f t="shared" si="0"/>
        <v>54547</v>
      </c>
    </row>
    <row r="4" spans="1:7" x14ac:dyDescent="0.3">
      <c r="A4">
        <v>203</v>
      </c>
      <c r="B4" t="s">
        <v>110</v>
      </c>
      <c r="C4" t="s">
        <v>111</v>
      </c>
      <c r="D4">
        <v>40336</v>
      </c>
      <c r="E4">
        <v>5556</v>
      </c>
      <c r="F4">
        <v>2065</v>
      </c>
      <c r="G4" s="36">
        <f t="shared" si="0"/>
        <v>43827</v>
      </c>
    </row>
    <row r="5" spans="1:7" x14ac:dyDescent="0.3">
      <c r="A5">
        <v>204</v>
      </c>
      <c r="B5" t="s">
        <v>48</v>
      </c>
      <c r="C5" t="s">
        <v>112</v>
      </c>
      <c r="D5">
        <v>48066</v>
      </c>
      <c r="E5">
        <v>2538</v>
      </c>
      <c r="F5">
        <v>2166</v>
      </c>
      <c r="G5" s="36">
        <f t="shared" si="0"/>
        <v>48438</v>
      </c>
    </row>
    <row r="6" spans="1:7" x14ac:dyDescent="0.3">
      <c r="A6">
        <v>205</v>
      </c>
      <c r="B6" t="s">
        <v>113</v>
      </c>
      <c r="C6" t="s">
        <v>111</v>
      </c>
      <c r="D6">
        <v>57772</v>
      </c>
      <c r="E6">
        <v>2192</v>
      </c>
      <c r="F6">
        <v>768</v>
      </c>
      <c r="G6" s="36">
        <f t="shared" si="0"/>
        <v>59196</v>
      </c>
    </row>
    <row r="7" spans="1:7" x14ac:dyDescent="0.3">
      <c r="A7">
        <v>206</v>
      </c>
      <c r="B7" t="s">
        <v>36</v>
      </c>
      <c r="C7" t="s">
        <v>107</v>
      </c>
      <c r="D7">
        <v>47690</v>
      </c>
      <c r="E7">
        <v>6945</v>
      </c>
      <c r="F7">
        <v>1912</v>
      </c>
      <c r="G7" s="36">
        <f t="shared" si="0"/>
        <v>52723</v>
      </c>
    </row>
    <row r="8" spans="1:7" x14ac:dyDescent="0.3">
      <c r="A8">
        <v>207</v>
      </c>
      <c r="B8" t="s">
        <v>68</v>
      </c>
      <c r="C8" t="s">
        <v>114</v>
      </c>
      <c r="D8">
        <v>44668</v>
      </c>
      <c r="E8">
        <v>7649</v>
      </c>
      <c r="F8">
        <v>2734</v>
      </c>
      <c r="G8" s="36">
        <f t="shared" si="0"/>
        <v>49583</v>
      </c>
    </row>
    <row r="9" spans="1:7" x14ac:dyDescent="0.3">
      <c r="A9">
        <v>208</v>
      </c>
      <c r="B9" t="s">
        <v>115</v>
      </c>
      <c r="C9" t="s">
        <v>112</v>
      </c>
      <c r="D9">
        <v>41888</v>
      </c>
      <c r="E9">
        <v>4455</v>
      </c>
      <c r="F9">
        <v>1771</v>
      </c>
      <c r="G9" s="36">
        <f t="shared" si="0"/>
        <v>44572</v>
      </c>
    </row>
    <row r="10" spans="1:7" x14ac:dyDescent="0.3">
      <c r="A10">
        <v>209</v>
      </c>
      <c r="B10" t="s">
        <v>116</v>
      </c>
      <c r="C10" t="s">
        <v>111</v>
      </c>
      <c r="D10">
        <v>43908</v>
      </c>
      <c r="E10">
        <v>6913</v>
      </c>
      <c r="F10">
        <v>2077</v>
      </c>
      <c r="G10" s="36">
        <f t="shared" si="0"/>
        <v>48744</v>
      </c>
    </row>
    <row r="11" spans="1:7" x14ac:dyDescent="0.3">
      <c r="A11">
        <v>210</v>
      </c>
      <c r="B11" t="s">
        <v>117</v>
      </c>
      <c r="C11" t="s">
        <v>112</v>
      </c>
      <c r="D11">
        <v>36734</v>
      </c>
      <c r="E11">
        <v>4610</v>
      </c>
      <c r="F11">
        <v>2769</v>
      </c>
      <c r="G11" s="36">
        <f t="shared" si="0"/>
        <v>38575</v>
      </c>
    </row>
    <row r="12" spans="1:7" x14ac:dyDescent="0.3">
      <c r="A12">
        <v>211</v>
      </c>
      <c r="B12" t="s">
        <v>118</v>
      </c>
      <c r="C12" t="s">
        <v>107</v>
      </c>
      <c r="D12">
        <v>38287</v>
      </c>
      <c r="E12">
        <v>3133</v>
      </c>
      <c r="F12">
        <v>2437</v>
      </c>
      <c r="G12" s="36">
        <f t="shared" si="0"/>
        <v>38983</v>
      </c>
    </row>
    <row r="13" spans="1:7" x14ac:dyDescent="0.3">
      <c r="A13">
        <v>212</v>
      </c>
      <c r="B13" t="s">
        <v>18</v>
      </c>
      <c r="C13" t="s">
        <v>111</v>
      </c>
      <c r="D13">
        <v>39777</v>
      </c>
      <c r="E13">
        <v>7294</v>
      </c>
      <c r="F13">
        <v>2153</v>
      </c>
      <c r="G13" s="36">
        <f t="shared" si="0"/>
        <v>44918</v>
      </c>
    </row>
    <row r="14" spans="1:7" x14ac:dyDescent="0.3">
      <c r="A14">
        <v>213</v>
      </c>
      <c r="B14" t="s">
        <v>119</v>
      </c>
      <c r="C14" t="s">
        <v>109</v>
      </c>
      <c r="D14">
        <v>59520</v>
      </c>
      <c r="E14">
        <v>5571</v>
      </c>
      <c r="F14">
        <v>1030</v>
      </c>
      <c r="G14" s="36">
        <f t="shared" si="0"/>
        <v>64061</v>
      </c>
    </row>
    <row r="15" spans="1:7" x14ac:dyDescent="0.3">
      <c r="A15">
        <v>214</v>
      </c>
      <c r="B15" t="s">
        <v>54</v>
      </c>
      <c r="C15" t="s">
        <v>114</v>
      </c>
      <c r="D15">
        <v>35046</v>
      </c>
      <c r="E15">
        <v>4841</v>
      </c>
      <c r="F15">
        <v>1237</v>
      </c>
      <c r="G15" s="36">
        <f t="shared" si="0"/>
        <v>38650</v>
      </c>
    </row>
    <row r="16" spans="1:7" x14ac:dyDescent="0.3">
      <c r="A16">
        <v>215</v>
      </c>
      <c r="B16" t="s">
        <v>106</v>
      </c>
      <c r="C16" t="s">
        <v>114</v>
      </c>
      <c r="D16">
        <v>36950</v>
      </c>
      <c r="E16">
        <v>3436</v>
      </c>
      <c r="F16">
        <v>1077</v>
      </c>
      <c r="G16" s="36">
        <f t="shared" si="0"/>
        <v>39309</v>
      </c>
    </row>
    <row r="17" spans="1:7" x14ac:dyDescent="0.3">
      <c r="A17">
        <v>216</v>
      </c>
      <c r="B17" t="s">
        <v>120</v>
      </c>
      <c r="C17" t="s">
        <v>114</v>
      </c>
      <c r="D17">
        <v>56514</v>
      </c>
      <c r="E17">
        <v>2786</v>
      </c>
      <c r="F17">
        <v>1310</v>
      </c>
      <c r="G17" s="36">
        <f t="shared" si="0"/>
        <v>57990</v>
      </c>
    </row>
    <row r="18" spans="1:7" x14ac:dyDescent="0.3">
      <c r="A18">
        <v>217</v>
      </c>
      <c r="B18" t="s">
        <v>121</v>
      </c>
      <c r="C18" t="s">
        <v>122</v>
      </c>
      <c r="D18">
        <v>38970</v>
      </c>
      <c r="E18">
        <v>3712</v>
      </c>
      <c r="F18">
        <v>2225</v>
      </c>
      <c r="G18" s="36">
        <f t="shared" si="0"/>
        <v>40457</v>
      </c>
    </row>
    <row r="19" spans="1:7" x14ac:dyDescent="0.3">
      <c r="A19">
        <v>218</v>
      </c>
      <c r="B19" t="s">
        <v>66</v>
      </c>
      <c r="C19" t="s">
        <v>114</v>
      </c>
      <c r="D19">
        <v>54292</v>
      </c>
      <c r="E19">
        <v>4927</v>
      </c>
      <c r="F19">
        <v>1456</v>
      </c>
      <c r="G19" s="36">
        <f t="shared" si="0"/>
        <v>57763</v>
      </c>
    </row>
    <row r="20" spans="1:7" x14ac:dyDescent="0.3">
      <c r="A20">
        <v>219</v>
      </c>
      <c r="B20" t="s">
        <v>121</v>
      </c>
      <c r="C20" t="s">
        <v>122</v>
      </c>
      <c r="D20">
        <v>56529</v>
      </c>
      <c r="E20">
        <v>2563</v>
      </c>
      <c r="F20">
        <v>513</v>
      </c>
      <c r="G20" s="36">
        <f t="shared" si="0"/>
        <v>58579</v>
      </c>
    </row>
    <row r="21" spans="1:7" x14ac:dyDescent="0.3">
      <c r="A21">
        <v>220</v>
      </c>
      <c r="B21" t="s">
        <v>123</v>
      </c>
      <c r="C21" t="s">
        <v>112</v>
      </c>
      <c r="D21">
        <v>48126</v>
      </c>
      <c r="E21">
        <v>4876</v>
      </c>
      <c r="F21">
        <v>1770</v>
      </c>
      <c r="G21" s="36">
        <f t="shared" si="0"/>
        <v>51232</v>
      </c>
    </row>
    <row r="22" spans="1:7" x14ac:dyDescent="0.3">
      <c r="A22">
        <v>221</v>
      </c>
      <c r="B22" t="s">
        <v>124</v>
      </c>
      <c r="C22" t="s">
        <v>122</v>
      </c>
      <c r="D22">
        <v>31222</v>
      </c>
      <c r="E22">
        <v>3960</v>
      </c>
      <c r="F22">
        <v>2542</v>
      </c>
      <c r="G22" s="36">
        <f t="shared" si="0"/>
        <v>32640</v>
      </c>
    </row>
    <row r="23" spans="1:7" x14ac:dyDescent="0.3">
      <c r="A23">
        <v>222</v>
      </c>
      <c r="B23" t="s">
        <v>66</v>
      </c>
      <c r="C23" t="s">
        <v>109</v>
      </c>
      <c r="D23">
        <v>57378</v>
      </c>
      <c r="E23">
        <v>3896</v>
      </c>
      <c r="F23">
        <v>2367</v>
      </c>
      <c r="G23" s="36">
        <f t="shared" si="0"/>
        <v>58907</v>
      </c>
    </row>
    <row r="24" spans="1:7" x14ac:dyDescent="0.3">
      <c r="A24">
        <v>223</v>
      </c>
      <c r="B24" t="s">
        <v>125</v>
      </c>
      <c r="C24" t="s">
        <v>107</v>
      </c>
      <c r="D24">
        <v>34006</v>
      </c>
      <c r="E24">
        <v>3339</v>
      </c>
      <c r="F24">
        <v>975</v>
      </c>
      <c r="G24" s="36">
        <f t="shared" si="0"/>
        <v>36370</v>
      </c>
    </row>
    <row r="25" spans="1:7" x14ac:dyDescent="0.3">
      <c r="A25">
        <v>224</v>
      </c>
      <c r="B25" t="s">
        <v>52</v>
      </c>
      <c r="C25" t="s">
        <v>122</v>
      </c>
      <c r="D25">
        <v>57229</v>
      </c>
      <c r="E25">
        <v>5283</v>
      </c>
      <c r="F25">
        <v>1411</v>
      </c>
      <c r="G25" s="36">
        <f t="shared" si="0"/>
        <v>61101</v>
      </c>
    </row>
    <row r="26" spans="1:7" x14ac:dyDescent="0.3">
      <c r="A26">
        <v>225</v>
      </c>
      <c r="B26" t="s">
        <v>126</v>
      </c>
      <c r="C26" t="s">
        <v>122</v>
      </c>
      <c r="D26">
        <v>56586</v>
      </c>
      <c r="E26">
        <v>7662</v>
      </c>
      <c r="F26">
        <v>1134</v>
      </c>
      <c r="G26" s="36">
        <f t="shared" si="0"/>
        <v>63114</v>
      </c>
    </row>
    <row r="27" spans="1:7" x14ac:dyDescent="0.3">
      <c r="A27">
        <v>226</v>
      </c>
      <c r="B27" t="s">
        <v>18</v>
      </c>
      <c r="C27" t="s">
        <v>109</v>
      </c>
      <c r="D27">
        <v>38561</v>
      </c>
      <c r="E27">
        <v>7993</v>
      </c>
      <c r="F27">
        <v>1251</v>
      </c>
      <c r="G27" s="36">
        <f t="shared" si="0"/>
        <v>45303</v>
      </c>
    </row>
    <row r="28" spans="1:7" x14ac:dyDescent="0.3">
      <c r="A28">
        <v>227</v>
      </c>
      <c r="B28" t="s">
        <v>52</v>
      </c>
      <c r="C28" t="s">
        <v>112</v>
      </c>
      <c r="D28">
        <v>55172</v>
      </c>
      <c r="E28">
        <v>6799</v>
      </c>
      <c r="F28">
        <v>1449</v>
      </c>
      <c r="G28" s="36">
        <f t="shared" si="0"/>
        <v>60522</v>
      </c>
    </row>
    <row r="29" spans="1:7" x14ac:dyDescent="0.3">
      <c r="A29">
        <v>228</v>
      </c>
      <c r="B29" t="s">
        <v>125</v>
      </c>
      <c r="C29" t="s">
        <v>109</v>
      </c>
      <c r="D29">
        <v>51366</v>
      </c>
      <c r="E29">
        <v>3206</v>
      </c>
      <c r="F29">
        <v>837</v>
      </c>
      <c r="G29" s="36">
        <f t="shared" si="0"/>
        <v>53735</v>
      </c>
    </row>
    <row r="30" spans="1:7" x14ac:dyDescent="0.3">
      <c r="A30">
        <v>229</v>
      </c>
      <c r="B30" t="s">
        <v>127</v>
      </c>
      <c r="C30" t="s">
        <v>109</v>
      </c>
      <c r="D30">
        <v>48893</v>
      </c>
      <c r="E30">
        <v>5104</v>
      </c>
      <c r="F30">
        <v>1986</v>
      </c>
      <c r="G30" s="36">
        <f t="shared" si="0"/>
        <v>52011</v>
      </c>
    </row>
    <row r="31" spans="1:7" x14ac:dyDescent="0.3">
      <c r="A31">
        <v>230</v>
      </c>
      <c r="B31" t="s">
        <v>128</v>
      </c>
      <c r="C31" t="s">
        <v>112</v>
      </c>
      <c r="D31">
        <v>58284</v>
      </c>
      <c r="E31">
        <v>2731</v>
      </c>
      <c r="F31">
        <v>1903</v>
      </c>
      <c r="G31" s="36">
        <f t="shared" si="0"/>
        <v>59112</v>
      </c>
    </row>
    <row r="32" spans="1:7" x14ac:dyDescent="0.3">
      <c r="A32">
        <v>231</v>
      </c>
      <c r="B32" t="s">
        <v>50</v>
      </c>
      <c r="C32" t="s">
        <v>109</v>
      </c>
      <c r="D32">
        <v>54657</v>
      </c>
      <c r="E32">
        <v>7352</v>
      </c>
      <c r="F32">
        <v>1175</v>
      </c>
      <c r="G32" s="36">
        <f t="shared" si="0"/>
        <v>60834</v>
      </c>
    </row>
    <row r="33" spans="1:7" x14ac:dyDescent="0.3">
      <c r="A33">
        <v>232</v>
      </c>
      <c r="B33" t="s">
        <v>121</v>
      </c>
      <c r="C33" t="s">
        <v>111</v>
      </c>
      <c r="D33">
        <v>42466</v>
      </c>
      <c r="E33">
        <v>5742</v>
      </c>
      <c r="F33">
        <v>508</v>
      </c>
      <c r="G33" s="36">
        <f t="shared" si="0"/>
        <v>47700</v>
      </c>
    </row>
    <row r="34" spans="1:7" x14ac:dyDescent="0.3">
      <c r="A34">
        <v>233</v>
      </c>
      <c r="B34" t="s">
        <v>129</v>
      </c>
      <c r="C34" t="s">
        <v>122</v>
      </c>
      <c r="D34">
        <v>48182</v>
      </c>
      <c r="E34">
        <v>4759</v>
      </c>
      <c r="F34">
        <v>2165</v>
      </c>
      <c r="G34" s="36">
        <f t="shared" si="0"/>
        <v>50776</v>
      </c>
    </row>
    <row r="35" spans="1:7" x14ac:dyDescent="0.3">
      <c r="A35">
        <v>234</v>
      </c>
      <c r="B35" t="s">
        <v>106</v>
      </c>
      <c r="C35" t="s">
        <v>109</v>
      </c>
      <c r="D35">
        <v>54698</v>
      </c>
      <c r="E35">
        <v>2279</v>
      </c>
      <c r="F35">
        <v>1563</v>
      </c>
      <c r="G35" s="36">
        <f t="shared" si="0"/>
        <v>55414</v>
      </c>
    </row>
    <row r="36" spans="1:7" x14ac:dyDescent="0.3">
      <c r="A36">
        <v>235</v>
      </c>
      <c r="B36" t="s">
        <v>13</v>
      </c>
      <c r="C36" t="s">
        <v>109</v>
      </c>
      <c r="D36">
        <v>44810</v>
      </c>
      <c r="E36">
        <v>3316</v>
      </c>
      <c r="F36">
        <v>2900</v>
      </c>
      <c r="G36" s="36">
        <f t="shared" si="0"/>
        <v>45226</v>
      </c>
    </row>
    <row r="37" spans="1:7" x14ac:dyDescent="0.3">
      <c r="A37">
        <v>236</v>
      </c>
      <c r="B37" t="s">
        <v>130</v>
      </c>
      <c r="C37" t="s">
        <v>109</v>
      </c>
      <c r="D37">
        <v>30229</v>
      </c>
      <c r="E37">
        <v>2149</v>
      </c>
      <c r="F37">
        <v>1826</v>
      </c>
      <c r="G37" s="36">
        <f t="shared" si="0"/>
        <v>30552</v>
      </c>
    </row>
    <row r="38" spans="1:7" x14ac:dyDescent="0.3">
      <c r="A38">
        <v>237</v>
      </c>
      <c r="B38" t="s">
        <v>131</v>
      </c>
      <c r="C38" t="s">
        <v>122</v>
      </c>
      <c r="D38">
        <v>35765</v>
      </c>
      <c r="E38">
        <v>4719</v>
      </c>
      <c r="F38">
        <v>1517</v>
      </c>
      <c r="G38" s="36">
        <f t="shared" si="0"/>
        <v>38967</v>
      </c>
    </row>
    <row r="39" spans="1:7" x14ac:dyDescent="0.3">
      <c r="A39">
        <v>238</v>
      </c>
      <c r="B39" t="s">
        <v>121</v>
      </c>
      <c r="C39" t="s">
        <v>112</v>
      </c>
      <c r="D39">
        <v>37955</v>
      </c>
      <c r="E39">
        <v>2713</v>
      </c>
      <c r="F39">
        <v>1686</v>
      </c>
      <c r="G39" s="36">
        <f t="shared" si="0"/>
        <v>38982</v>
      </c>
    </row>
    <row r="40" spans="1:7" x14ac:dyDescent="0.3">
      <c r="A40">
        <v>239</v>
      </c>
      <c r="B40" t="s">
        <v>130</v>
      </c>
      <c r="C40" t="s">
        <v>112</v>
      </c>
      <c r="D40">
        <v>54704</v>
      </c>
      <c r="E40">
        <v>6984</v>
      </c>
      <c r="F40">
        <v>1240</v>
      </c>
      <c r="G40" s="36">
        <f t="shared" si="0"/>
        <v>60448</v>
      </c>
    </row>
    <row r="41" spans="1:7" x14ac:dyDescent="0.3">
      <c r="A41">
        <v>240</v>
      </c>
      <c r="B41" t="s">
        <v>123</v>
      </c>
      <c r="C41" t="s">
        <v>114</v>
      </c>
      <c r="D41">
        <v>47808</v>
      </c>
      <c r="E41">
        <v>4561</v>
      </c>
      <c r="F41">
        <v>2892</v>
      </c>
      <c r="G41" s="36">
        <f t="shared" si="0"/>
        <v>49477</v>
      </c>
    </row>
  </sheetData>
  <conditionalFormatting sqref="G2:G41">
    <cfRule type="colorScale" priority="1">
      <colorScale>
        <cfvo type="min"/>
        <cfvo type="percentile" val="50"/>
        <cfvo type="max"/>
        <color rgb="FFF8696B"/>
        <color rgb="FFFFEB84"/>
        <color rgb="FF63BE7B"/>
      </colorScale>
    </cfRule>
  </conditionalFormatting>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8E3AA-87D2-465A-90FD-0D6FAA94B752}">
  <sheetPr>
    <tabColor theme="5" tint="0.79998168889431442"/>
  </sheetPr>
  <dimension ref="A1:G15"/>
  <sheetViews>
    <sheetView workbookViewId="0">
      <selection sqref="A1:G1"/>
    </sheetView>
  </sheetViews>
  <sheetFormatPr defaultRowHeight="14.4" x14ac:dyDescent="0.3"/>
  <cols>
    <col min="1" max="1" width="13.109375" bestFit="1" customWidth="1"/>
    <col min="2" max="2" width="15.5546875" bestFit="1" customWidth="1"/>
    <col min="3" max="3" width="16.6640625" bestFit="1" customWidth="1"/>
    <col min="4" max="4" width="11.44140625" bestFit="1" customWidth="1"/>
    <col min="5" max="5" width="15.77734375" bestFit="1" customWidth="1"/>
    <col min="6" max="6" width="15.44140625" bestFit="1" customWidth="1"/>
    <col min="7" max="7" width="14.44140625" bestFit="1" customWidth="1"/>
  </cols>
  <sheetData>
    <row r="1" spans="1:7" ht="30" customHeight="1" x14ac:dyDescent="0.4">
      <c r="A1" s="156" t="s">
        <v>516</v>
      </c>
      <c r="B1" s="156"/>
      <c r="C1" s="156"/>
      <c r="D1" s="156"/>
      <c r="E1" s="156"/>
      <c r="F1" s="156"/>
      <c r="G1" s="156"/>
    </row>
    <row r="3" spans="1:7" ht="22.05" customHeight="1" x14ac:dyDescent="0.3">
      <c r="A3" s="37" t="s">
        <v>102</v>
      </c>
      <c r="B3" s="37" t="s">
        <v>517</v>
      </c>
      <c r="C3" s="37" t="s">
        <v>518</v>
      </c>
      <c r="D3" s="37" t="s">
        <v>519</v>
      </c>
      <c r="E3" s="37" t="s">
        <v>520</v>
      </c>
      <c r="F3" s="37" t="s">
        <v>521</v>
      </c>
      <c r="G3" s="37" t="s">
        <v>522</v>
      </c>
    </row>
    <row r="4" spans="1:7" x14ac:dyDescent="0.3">
      <c r="A4" s="40" t="s">
        <v>111</v>
      </c>
      <c r="B4" s="40">
        <f>COUNTIF(Payroll_Data!C:C,"Accounts")</f>
        <v>5</v>
      </c>
      <c r="C4" s="41">
        <f>SUMIF(Payroll_Data!C:C,"Accounts",Payroll_Data!D:D)</f>
        <v>224259</v>
      </c>
      <c r="D4" s="41">
        <f>SUMIF(Payroll_Data!C:C,"Accounts",Payroll_Data!E:E)</f>
        <v>27697</v>
      </c>
      <c r="E4" s="41">
        <f>SUMIF(Payroll_Data!C:C,"Accounts",Payroll_Data!F:F)</f>
        <v>7571</v>
      </c>
      <c r="F4" s="41">
        <f>SUMIF(Payroll_Data!C:C,"Accounts",Payroll_Data!G:G)</f>
        <v>244385</v>
      </c>
      <c r="G4" s="41">
        <f>AVERAGEIF(Payroll_Data!C:C,"Accounts",Payroll_Data!G:G)</f>
        <v>48877</v>
      </c>
    </row>
    <row r="5" spans="1:7" x14ac:dyDescent="0.3">
      <c r="A5" s="6" t="s">
        <v>114</v>
      </c>
      <c r="B5" s="6">
        <f>COUNTIF(Payroll_Data!C:C,"Admin")</f>
        <v>6</v>
      </c>
      <c r="C5" s="34">
        <f>SUMIF(Payroll_Data!C:C,"Admin",Payroll_Data!D:D)</f>
        <v>275278</v>
      </c>
      <c r="D5" s="34">
        <f>SUMIF(Payroll_Data!C:C,"Admin",Payroll_Data!E:E)</f>
        <v>28200</v>
      </c>
      <c r="E5" s="34">
        <f>SUMIF(Payroll_Data!C:C,"Admin",Payroll_Data!F:F)</f>
        <v>10706</v>
      </c>
      <c r="F5" s="34">
        <f>SUMIF(Payroll_Data!C:C,"Admin",Payroll_Data!G:G)</f>
        <v>292772</v>
      </c>
      <c r="G5" s="34">
        <f>AVERAGEIF(Payroll_Data!C:C,"Admin",Payroll_Data!G:G)</f>
        <v>48795.333333333336</v>
      </c>
    </row>
    <row r="6" spans="1:7" x14ac:dyDescent="0.3">
      <c r="A6" s="40" t="s">
        <v>112</v>
      </c>
      <c r="B6" s="40">
        <f>COUNTIF(Payroll_Data!C:C,"HR")</f>
        <v>8</v>
      </c>
      <c r="C6" s="41">
        <f>SUMIF(Payroll_Data!C:C,"HR",Payroll_Data!D:D)</f>
        <v>380929</v>
      </c>
      <c r="D6" s="41">
        <f>SUMIF(Payroll_Data!C:C,"HR",Payroll_Data!E:E)</f>
        <v>35706</v>
      </c>
      <c r="E6" s="41">
        <f>SUMIF(Payroll_Data!C:C,"HR",Payroll_Data!F:F)</f>
        <v>14754</v>
      </c>
      <c r="F6" s="41">
        <f>SUMIF(Payroll_Data!C:C,"HR",Payroll_Data!G:G)</f>
        <v>401881</v>
      </c>
      <c r="G6" s="41">
        <f>AVERAGEIF(Payroll_Data!C:C,"HR",Payroll_Data!G:G)</f>
        <v>50235.125</v>
      </c>
    </row>
    <row r="7" spans="1:7" x14ac:dyDescent="0.3">
      <c r="A7" s="6" t="s">
        <v>107</v>
      </c>
      <c r="B7" s="6">
        <f>COUNTIF(Payroll_Data!C:C,"IT")</f>
        <v>4</v>
      </c>
      <c r="C7" s="34">
        <f>SUMIF(Payroll_Data!C:C,"IT",Payroll_Data!D:D)</f>
        <v>165885</v>
      </c>
      <c r="D7" s="34">
        <f>SUMIF(Payroll_Data!C:C,"IT",Payroll_Data!E:E)</f>
        <v>19403</v>
      </c>
      <c r="E7" s="34">
        <f>SUMIF(Payroll_Data!C:C,"IT",Payroll_Data!F:F)</f>
        <v>7524</v>
      </c>
      <c r="F7" s="34">
        <f>SUMIF(Payroll_Data!C:C,"IT",Payroll_Data!G:G)</f>
        <v>177764</v>
      </c>
      <c r="G7" s="34">
        <f>AVERAGEIF(Payroll_Data!C:C,"IT",Payroll_Data!G:G)</f>
        <v>44441</v>
      </c>
    </row>
    <row r="8" spans="1:7" x14ac:dyDescent="0.3">
      <c r="A8" s="40" t="s">
        <v>122</v>
      </c>
      <c r="B8" s="40">
        <f>COUNTIF(Payroll_Data!C:C,"Marketing")</f>
        <v>7</v>
      </c>
      <c r="C8" s="41">
        <f>SUMIF(Payroll_Data!C:C,"Marketing",Payroll_Data!D:D)</f>
        <v>324483</v>
      </c>
      <c r="D8" s="41">
        <f>SUMIF(Payroll_Data!C:C,"Marketing",Payroll_Data!E:E)</f>
        <v>32658</v>
      </c>
      <c r="E8" s="41">
        <f>SUMIF(Payroll_Data!C:C,"Marketing",Payroll_Data!F:F)</f>
        <v>11507</v>
      </c>
      <c r="F8" s="41">
        <f>SUMIF(Payroll_Data!C:C,"Marketing",Payroll_Data!G:G)</f>
        <v>345634</v>
      </c>
      <c r="G8" s="41">
        <f>AVERAGEIF(Payroll_Data!C:C,"Marketing",Payroll_Data!G:G)</f>
        <v>49376.285714285717</v>
      </c>
    </row>
    <row r="9" spans="1:7" x14ac:dyDescent="0.3">
      <c r="A9" s="6" t="s">
        <v>109</v>
      </c>
      <c r="B9" s="6">
        <f>COUNTIF(Payroll_Data!C:C,"Sales")</f>
        <v>10</v>
      </c>
      <c r="C9" s="34">
        <f>SUMIF(Payroll_Data!C:C,"Sales",Payroll_Data!D:D)</f>
        <v>493427</v>
      </c>
      <c r="D9" s="34">
        <f>SUMIF(Payroll_Data!C:C,"Sales",Payroll_Data!E:E)</f>
        <v>43734</v>
      </c>
      <c r="E9" s="34">
        <f>SUMIF(Payroll_Data!C:C,"Sales",Payroll_Data!F:F)</f>
        <v>16571</v>
      </c>
      <c r="F9" s="34">
        <f>SUMIF(Payroll_Data!C:C,"Sales",Payroll_Data!G:G)</f>
        <v>520590</v>
      </c>
      <c r="G9" s="34">
        <f>AVERAGEIF(Payroll_Data!C:C,"Sales",Payroll_Data!G:G)</f>
        <v>52059</v>
      </c>
    </row>
    <row r="10" spans="1:7" x14ac:dyDescent="0.3">
      <c r="A10" s="38" t="s">
        <v>523</v>
      </c>
      <c r="B10" s="38">
        <f>SUM(B4:B9)</f>
        <v>40</v>
      </c>
      <c r="C10" s="39">
        <f>SUM(C4:C9)</f>
        <v>1864261</v>
      </c>
      <c r="D10" s="39">
        <f>SUM(D4:D9)</f>
        <v>187398</v>
      </c>
      <c r="E10" s="39">
        <f>SUM(E4:E9)</f>
        <v>68633</v>
      </c>
      <c r="F10" s="39">
        <f>SUM(F4:F9)</f>
        <v>1983026</v>
      </c>
      <c r="G10" s="39">
        <f>AVERAGE(G4:G9)</f>
        <v>48963.957341269845</v>
      </c>
    </row>
    <row r="12" spans="1:7" x14ac:dyDescent="0.3">
      <c r="A12" s="8" t="s">
        <v>524</v>
      </c>
    </row>
    <row r="13" spans="1:7" x14ac:dyDescent="0.3">
      <c r="A13" t="s">
        <v>525</v>
      </c>
    </row>
    <row r="14" spans="1:7" x14ac:dyDescent="0.3">
      <c r="A14" t="s">
        <v>526</v>
      </c>
    </row>
    <row r="15" spans="1:7" x14ac:dyDescent="0.3">
      <c r="A15" t="s">
        <v>527</v>
      </c>
    </row>
  </sheetData>
  <mergeCells count="1">
    <mergeCell ref="A1:G1"/>
  </mergeCells>
  <conditionalFormatting sqref="B4:B9">
    <cfRule type="dataBar" priority="2">
      <dataBar>
        <cfvo type="min"/>
        <cfvo type="max"/>
        <color rgb="FF5B9BD5"/>
      </dataBar>
      <extLst>
        <ext xmlns:x14="http://schemas.microsoft.com/office/spreadsheetml/2009/9/main" uri="{B025F937-C7B1-47D3-B67F-A62EFF666E3E}">
          <x14:id>{027F9905-7F3A-44FB-BE1D-C48497EDBD35}</x14:id>
        </ext>
      </extLst>
    </cfRule>
  </conditionalFormatting>
  <conditionalFormatting sqref="F4:F9">
    <cfRule type="colorScale" priority="1">
      <colorScale>
        <cfvo type="min"/>
        <cfvo type="percentile" val="50"/>
        <cfvo type="max"/>
        <color rgb="FFF8696B"/>
        <color rgb="FFFFEB84"/>
        <color rgb="FF63BE7B"/>
      </colorScale>
    </cfRule>
  </conditionalFormatting>
  <conditionalFormatting sqref="G4:G9">
    <cfRule type="iconSet" priority="3">
      <iconSet iconSet="3Arrows">
        <cfvo type="percent" val="0"/>
        <cfvo type="percent" val="33"/>
        <cfvo type="percent" val="67"/>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27F9905-7F3A-44FB-BE1D-C48497EDBD35}">
            <x14:dataBar minLength="0" maxLength="100" border="1" direction="leftToRight" negativeBarColorSameAsPositive="1" axisPosition="none">
              <x14:cfvo type="min"/>
              <x14:cfvo type="max"/>
              <x14:borderColor rgb="FF5B9BD5"/>
            </x14:dataBar>
          </x14:cfRule>
          <xm:sqref>B4:B9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sheetPr>
  <dimension ref="A1:C41"/>
  <sheetViews>
    <sheetView workbookViewId="0"/>
  </sheetViews>
  <sheetFormatPr defaultRowHeight="14.4" x14ac:dyDescent="0.3"/>
  <cols>
    <col min="1" max="1" width="16.21875" customWidth="1"/>
    <col min="2" max="2" width="19.44140625" customWidth="1"/>
    <col min="3" max="3" width="16.21875" customWidth="1"/>
  </cols>
  <sheetData>
    <row r="1" spans="1:3" x14ac:dyDescent="0.3">
      <c r="A1" t="s">
        <v>88</v>
      </c>
      <c r="B1" t="s">
        <v>132</v>
      </c>
      <c r="C1" t="s">
        <v>133</v>
      </c>
    </row>
    <row r="2" spans="1:3" x14ac:dyDescent="0.3">
      <c r="A2" s="1">
        <v>46023</v>
      </c>
      <c r="B2" t="s">
        <v>134</v>
      </c>
      <c r="C2">
        <v>21673</v>
      </c>
    </row>
    <row r="3" spans="1:3" x14ac:dyDescent="0.3">
      <c r="A3" s="1">
        <v>46024</v>
      </c>
      <c r="B3" t="s">
        <v>134</v>
      </c>
      <c r="C3">
        <v>-13047</v>
      </c>
    </row>
    <row r="4" spans="1:3" x14ac:dyDescent="0.3">
      <c r="A4" s="1">
        <v>46025</v>
      </c>
      <c r="B4" t="s">
        <v>134</v>
      </c>
      <c r="C4">
        <v>19375</v>
      </c>
    </row>
    <row r="5" spans="1:3" x14ac:dyDescent="0.3">
      <c r="A5" s="1">
        <v>46026</v>
      </c>
      <c r="B5" t="s">
        <v>135</v>
      </c>
      <c r="C5">
        <v>12429</v>
      </c>
    </row>
    <row r="6" spans="1:3" x14ac:dyDescent="0.3">
      <c r="A6" s="1">
        <v>46027</v>
      </c>
      <c r="B6" t="s">
        <v>136</v>
      </c>
      <c r="C6">
        <v>9070</v>
      </c>
    </row>
    <row r="7" spans="1:3" x14ac:dyDescent="0.3">
      <c r="A7" s="1">
        <v>46028</v>
      </c>
      <c r="B7" t="s">
        <v>137</v>
      </c>
      <c r="C7">
        <v>15876</v>
      </c>
    </row>
    <row r="8" spans="1:3" x14ac:dyDescent="0.3">
      <c r="A8" s="1">
        <v>46029</v>
      </c>
      <c r="B8" t="s">
        <v>138</v>
      </c>
      <c r="C8">
        <v>-7221</v>
      </c>
    </row>
    <row r="9" spans="1:3" x14ac:dyDescent="0.3">
      <c r="A9" s="1">
        <v>46030</v>
      </c>
      <c r="B9" t="s">
        <v>138</v>
      </c>
      <c r="C9">
        <v>-2163</v>
      </c>
    </row>
    <row r="10" spans="1:3" x14ac:dyDescent="0.3">
      <c r="A10" s="1">
        <v>46031</v>
      </c>
      <c r="B10" t="s">
        <v>135</v>
      </c>
      <c r="C10">
        <v>-9499</v>
      </c>
    </row>
    <row r="11" spans="1:3" x14ac:dyDescent="0.3">
      <c r="A11" s="1">
        <v>46032</v>
      </c>
      <c r="B11" t="s">
        <v>135</v>
      </c>
      <c r="C11">
        <v>-14246</v>
      </c>
    </row>
    <row r="12" spans="1:3" x14ac:dyDescent="0.3">
      <c r="A12" s="1">
        <v>46033</v>
      </c>
      <c r="B12" t="s">
        <v>135</v>
      </c>
      <c r="C12">
        <v>8049</v>
      </c>
    </row>
    <row r="13" spans="1:3" x14ac:dyDescent="0.3">
      <c r="A13" s="1">
        <v>46034</v>
      </c>
      <c r="B13" t="s">
        <v>136</v>
      </c>
      <c r="C13">
        <v>12737</v>
      </c>
    </row>
    <row r="14" spans="1:3" x14ac:dyDescent="0.3">
      <c r="A14" s="1">
        <v>46035</v>
      </c>
      <c r="B14" t="s">
        <v>138</v>
      </c>
      <c r="C14">
        <v>-11846</v>
      </c>
    </row>
    <row r="15" spans="1:3" x14ac:dyDescent="0.3">
      <c r="A15" s="1">
        <v>46036</v>
      </c>
      <c r="B15" t="s">
        <v>134</v>
      </c>
      <c r="C15">
        <v>14921</v>
      </c>
    </row>
    <row r="16" spans="1:3" x14ac:dyDescent="0.3">
      <c r="A16" s="1">
        <v>46037</v>
      </c>
      <c r="B16" t="s">
        <v>137</v>
      </c>
      <c r="C16">
        <v>-5231</v>
      </c>
    </row>
    <row r="17" spans="1:3" x14ac:dyDescent="0.3">
      <c r="A17" s="1">
        <v>46038</v>
      </c>
      <c r="B17" t="s">
        <v>138</v>
      </c>
      <c r="C17">
        <v>24311</v>
      </c>
    </row>
    <row r="18" spans="1:3" x14ac:dyDescent="0.3">
      <c r="A18" s="1">
        <v>46039</v>
      </c>
      <c r="B18" t="s">
        <v>137</v>
      </c>
      <c r="C18">
        <v>9396</v>
      </c>
    </row>
    <row r="19" spans="1:3" x14ac:dyDescent="0.3">
      <c r="A19" s="1">
        <v>46040</v>
      </c>
      <c r="B19" t="s">
        <v>137</v>
      </c>
      <c r="C19">
        <v>3161</v>
      </c>
    </row>
    <row r="20" spans="1:3" x14ac:dyDescent="0.3">
      <c r="A20" s="1">
        <v>46041</v>
      </c>
      <c r="B20" t="s">
        <v>134</v>
      </c>
      <c r="C20">
        <v>14487</v>
      </c>
    </row>
    <row r="21" spans="1:3" x14ac:dyDescent="0.3">
      <c r="A21" s="1">
        <v>46042</v>
      </c>
      <c r="B21" t="s">
        <v>138</v>
      </c>
      <c r="C21">
        <v>10506</v>
      </c>
    </row>
    <row r="22" spans="1:3" x14ac:dyDescent="0.3">
      <c r="A22" s="1">
        <v>46043</v>
      </c>
      <c r="B22" t="s">
        <v>135</v>
      </c>
      <c r="C22">
        <v>10450</v>
      </c>
    </row>
    <row r="23" spans="1:3" x14ac:dyDescent="0.3">
      <c r="A23" s="1">
        <v>46044</v>
      </c>
      <c r="B23" t="s">
        <v>135</v>
      </c>
      <c r="C23">
        <v>4979</v>
      </c>
    </row>
    <row r="24" spans="1:3" x14ac:dyDescent="0.3">
      <c r="A24" s="1">
        <v>46045</v>
      </c>
      <c r="B24" t="s">
        <v>138</v>
      </c>
      <c r="C24">
        <v>6912</v>
      </c>
    </row>
    <row r="25" spans="1:3" x14ac:dyDescent="0.3">
      <c r="A25" s="1">
        <v>46046</v>
      </c>
      <c r="B25" t="s">
        <v>137</v>
      </c>
      <c r="C25">
        <v>-9385</v>
      </c>
    </row>
    <row r="26" spans="1:3" x14ac:dyDescent="0.3">
      <c r="A26" s="1">
        <v>46047</v>
      </c>
      <c r="B26" t="s">
        <v>134</v>
      </c>
      <c r="C26">
        <v>1115</v>
      </c>
    </row>
    <row r="27" spans="1:3" x14ac:dyDescent="0.3">
      <c r="A27" s="1">
        <v>46048</v>
      </c>
      <c r="B27" t="s">
        <v>138</v>
      </c>
      <c r="C27">
        <v>1906</v>
      </c>
    </row>
    <row r="28" spans="1:3" x14ac:dyDescent="0.3">
      <c r="A28" s="1">
        <v>46049</v>
      </c>
      <c r="B28" t="s">
        <v>136</v>
      </c>
      <c r="C28">
        <v>1327</v>
      </c>
    </row>
    <row r="29" spans="1:3" x14ac:dyDescent="0.3">
      <c r="A29" s="1">
        <v>46050</v>
      </c>
      <c r="B29" t="s">
        <v>135</v>
      </c>
      <c r="C29">
        <v>14420</v>
      </c>
    </row>
    <row r="30" spans="1:3" x14ac:dyDescent="0.3">
      <c r="A30" s="1">
        <v>46051</v>
      </c>
      <c r="B30" t="s">
        <v>135</v>
      </c>
      <c r="C30">
        <v>-9725</v>
      </c>
    </row>
    <row r="31" spans="1:3" x14ac:dyDescent="0.3">
      <c r="A31" s="1">
        <v>46052</v>
      </c>
      <c r="B31" t="s">
        <v>135</v>
      </c>
      <c r="C31">
        <v>9975</v>
      </c>
    </row>
    <row r="32" spans="1:3" x14ac:dyDescent="0.3">
      <c r="A32" s="1">
        <v>46053</v>
      </c>
      <c r="B32" t="s">
        <v>135</v>
      </c>
      <c r="C32">
        <v>-6840</v>
      </c>
    </row>
    <row r="33" spans="1:3" x14ac:dyDescent="0.3">
      <c r="A33" s="1">
        <v>46054</v>
      </c>
      <c r="B33" t="s">
        <v>137</v>
      </c>
      <c r="C33">
        <v>24797</v>
      </c>
    </row>
    <row r="34" spans="1:3" x14ac:dyDescent="0.3">
      <c r="A34" s="1">
        <v>46055</v>
      </c>
      <c r="B34" t="s">
        <v>134</v>
      </c>
      <c r="C34">
        <v>-7506</v>
      </c>
    </row>
    <row r="35" spans="1:3" x14ac:dyDescent="0.3">
      <c r="A35" s="1">
        <v>46056</v>
      </c>
      <c r="B35" t="s">
        <v>136</v>
      </c>
      <c r="C35">
        <v>-7827</v>
      </c>
    </row>
    <row r="36" spans="1:3" x14ac:dyDescent="0.3">
      <c r="A36" s="1">
        <v>46057</v>
      </c>
      <c r="B36" t="s">
        <v>135</v>
      </c>
      <c r="C36">
        <v>9853</v>
      </c>
    </row>
    <row r="37" spans="1:3" x14ac:dyDescent="0.3">
      <c r="A37" s="1">
        <v>46058</v>
      </c>
      <c r="B37" t="s">
        <v>137</v>
      </c>
      <c r="C37">
        <v>244</v>
      </c>
    </row>
    <row r="38" spans="1:3" x14ac:dyDescent="0.3">
      <c r="A38" s="1">
        <v>46059</v>
      </c>
      <c r="B38" t="s">
        <v>137</v>
      </c>
      <c r="C38">
        <v>-3276</v>
      </c>
    </row>
    <row r="39" spans="1:3" x14ac:dyDescent="0.3">
      <c r="A39" s="1">
        <v>46060</v>
      </c>
      <c r="B39" t="s">
        <v>135</v>
      </c>
      <c r="C39">
        <v>6966</v>
      </c>
    </row>
    <row r="40" spans="1:3" x14ac:dyDescent="0.3">
      <c r="A40" s="1">
        <v>46061</v>
      </c>
      <c r="B40" t="s">
        <v>135</v>
      </c>
      <c r="C40">
        <v>472</v>
      </c>
    </row>
    <row r="41" spans="1:3" x14ac:dyDescent="0.3">
      <c r="A41" s="1">
        <v>46062</v>
      </c>
      <c r="B41" t="s">
        <v>135</v>
      </c>
      <c r="C41">
        <v>23021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sheetPr>
  <dimension ref="A1:C41"/>
  <sheetViews>
    <sheetView workbookViewId="0"/>
  </sheetViews>
  <sheetFormatPr defaultRowHeight="14.4" x14ac:dyDescent="0.3"/>
  <cols>
    <col min="1" max="1" width="15.77734375" customWidth="1"/>
    <col min="2" max="2" width="16.88671875" customWidth="1"/>
    <col min="3" max="3" width="15.77734375" customWidth="1"/>
  </cols>
  <sheetData>
    <row r="1" spans="1:3" x14ac:dyDescent="0.3">
      <c r="A1" t="s">
        <v>88</v>
      </c>
      <c r="B1" t="s">
        <v>132</v>
      </c>
      <c r="C1" t="s">
        <v>133</v>
      </c>
    </row>
    <row r="2" spans="1:3" x14ac:dyDescent="0.3">
      <c r="A2" s="1">
        <v>46023</v>
      </c>
      <c r="B2" t="s">
        <v>138</v>
      </c>
      <c r="C2">
        <v>10997</v>
      </c>
    </row>
    <row r="3" spans="1:3" x14ac:dyDescent="0.3">
      <c r="A3" s="1">
        <v>46024</v>
      </c>
      <c r="B3" t="s">
        <v>136</v>
      </c>
      <c r="C3">
        <v>19376</v>
      </c>
    </row>
    <row r="4" spans="1:3" x14ac:dyDescent="0.3">
      <c r="A4" s="1">
        <v>46025</v>
      </c>
      <c r="B4" t="s">
        <v>136</v>
      </c>
      <c r="C4">
        <v>18559</v>
      </c>
    </row>
    <row r="5" spans="1:3" x14ac:dyDescent="0.3">
      <c r="A5" s="1">
        <v>46026</v>
      </c>
      <c r="B5" t="s">
        <v>138</v>
      </c>
      <c r="C5">
        <v>-7646</v>
      </c>
    </row>
    <row r="6" spans="1:3" x14ac:dyDescent="0.3">
      <c r="A6" s="1">
        <v>46027</v>
      </c>
      <c r="B6" t="s">
        <v>136</v>
      </c>
      <c r="C6">
        <v>2360</v>
      </c>
    </row>
    <row r="7" spans="1:3" x14ac:dyDescent="0.3">
      <c r="A7" s="1">
        <v>46028</v>
      </c>
      <c r="B7" t="s">
        <v>138</v>
      </c>
      <c r="C7">
        <v>17153</v>
      </c>
    </row>
    <row r="8" spans="1:3" x14ac:dyDescent="0.3">
      <c r="A8" s="1">
        <v>46029</v>
      </c>
      <c r="B8" t="s">
        <v>135</v>
      </c>
      <c r="C8">
        <v>-4586</v>
      </c>
    </row>
    <row r="9" spans="1:3" x14ac:dyDescent="0.3">
      <c r="A9" s="1">
        <v>46030</v>
      </c>
      <c r="B9" t="s">
        <v>136</v>
      </c>
      <c r="C9">
        <v>-3633</v>
      </c>
    </row>
    <row r="10" spans="1:3" x14ac:dyDescent="0.3">
      <c r="A10" s="1">
        <v>46031</v>
      </c>
      <c r="B10" t="s">
        <v>139</v>
      </c>
      <c r="C10">
        <v>12001</v>
      </c>
    </row>
    <row r="11" spans="1:3" x14ac:dyDescent="0.3">
      <c r="A11" s="1">
        <v>46032</v>
      </c>
      <c r="B11" t="s">
        <v>138</v>
      </c>
      <c r="C11">
        <v>-8247</v>
      </c>
    </row>
    <row r="12" spans="1:3" x14ac:dyDescent="0.3">
      <c r="A12" s="1">
        <v>46033</v>
      </c>
      <c r="B12" t="s">
        <v>135</v>
      </c>
      <c r="C12">
        <v>-11811</v>
      </c>
    </row>
    <row r="13" spans="1:3" x14ac:dyDescent="0.3">
      <c r="A13" s="1">
        <v>46034</v>
      </c>
      <c r="B13" t="s">
        <v>138</v>
      </c>
      <c r="C13">
        <v>18674</v>
      </c>
    </row>
    <row r="14" spans="1:3" x14ac:dyDescent="0.3">
      <c r="A14" s="1">
        <v>46035</v>
      </c>
      <c r="B14" t="s">
        <v>139</v>
      </c>
      <c r="C14">
        <v>-10525</v>
      </c>
    </row>
    <row r="15" spans="1:3" x14ac:dyDescent="0.3">
      <c r="A15" s="1">
        <v>46036</v>
      </c>
      <c r="B15" t="s">
        <v>134</v>
      </c>
      <c r="C15">
        <v>10523</v>
      </c>
    </row>
    <row r="16" spans="1:3" x14ac:dyDescent="0.3">
      <c r="A16" s="1">
        <v>46037</v>
      </c>
      <c r="B16" t="s">
        <v>135</v>
      </c>
      <c r="C16">
        <v>20984</v>
      </c>
    </row>
    <row r="17" spans="1:3" x14ac:dyDescent="0.3">
      <c r="A17" s="1">
        <v>46038</v>
      </c>
      <c r="B17" t="s">
        <v>135</v>
      </c>
      <c r="C17">
        <v>21968</v>
      </c>
    </row>
    <row r="18" spans="1:3" x14ac:dyDescent="0.3">
      <c r="A18" s="1">
        <v>46039</v>
      </c>
      <c r="B18" t="s">
        <v>139</v>
      </c>
      <c r="C18">
        <v>22634</v>
      </c>
    </row>
    <row r="19" spans="1:3" x14ac:dyDescent="0.3">
      <c r="A19" s="1">
        <v>46040</v>
      </c>
      <c r="B19" t="s">
        <v>135</v>
      </c>
      <c r="C19">
        <v>22694</v>
      </c>
    </row>
    <row r="20" spans="1:3" x14ac:dyDescent="0.3">
      <c r="A20" s="1">
        <v>46041</v>
      </c>
      <c r="B20" t="s">
        <v>134</v>
      </c>
      <c r="C20">
        <v>-6344</v>
      </c>
    </row>
    <row r="21" spans="1:3" x14ac:dyDescent="0.3">
      <c r="A21" s="1">
        <v>46042</v>
      </c>
      <c r="B21" t="s">
        <v>136</v>
      </c>
      <c r="C21">
        <v>15762</v>
      </c>
    </row>
    <row r="22" spans="1:3" x14ac:dyDescent="0.3">
      <c r="A22" s="1">
        <v>46043</v>
      </c>
      <c r="B22" t="s">
        <v>135</v>
      </c>
      <c r="C22">
        <v>-5112</v>
      </c>
    </row>
    <row r="23" spans="1:3" x14ac:dyDescent="0.3">
      <c r="A23" s="1">
        <v>46044</v>
      </c>
      <c r="B23" t="s">
        <v>139</v>
      </c>
      <c r="C23">
        <v>23560</v>
      </c>
    </row>
    <row r="24" spans="1:3" x14ac:dyDescent="0.3">
      <c r="A24" s="1">
        <v>46045</v>
      </c>
      <c r="B24" t="s">
        <v>134</v>
      </c>
      <c r="C24">
        <v>-1989</v>
      </c>
    </row>
    <row r="25" spans="1:3" x14ac:dyDescent="0.3">
      <c r="A25" s="1">
        <v>46046</v>
      </c>
      <c r="B25" t="s">
        <v>138</v>
      </c>
      <c r="C25">
        <v>5307</v>
      </c>
    </row>
    <row r="26" spans="1:3" x14ac:dyDescent="0.3">
      <c r="A26" s="1">
        <v>46047</v>
      </c>
      <c r="B26" t="s">
        <v>134</v>
      </c>
      <c r="C26">
        <v>-10087</v>
      </c>
    </row>
    <row r="27" spans="1:3" x14ac:dyDescent="0.3">
      <c r="A27" s="1">
        <v>46048</v>
      </c>
      <c r="B27" t="s">
        <v>139</v>
      </c>
      <c r="C27">
        <v>5529</v>
      </c>
    </row>
    <row r="28" spans="1:3" x14ac:dyDescent="0.3">
      <c r="A28" s="1">
        <v>46049</v>
      </c>
      <c r="B28" t="s">
        <v>134</v>
      </c>
      <c r="C28">
        <v>-8286</v>
      </c>
    </row>
    <row r="29" spans="1:3" x14ac:dyDescent="0.3">
      <c r="A29" s="1">
        <v>46050</v>
      </c>
      <c r="B29" t="s">
        <v>138</v>
      </c>
      <c r="C29">
        <v>18993</v>
      </c>
    </row>
    <row r="30" spans="1:3" x14ac:dyDescent="0.3">
      <c r="A30" s="1">
        <v>46051</v>
      </c>
      <c r="B30" t="s">
        <v>136</v>
      </c>
      <c r="C30">
        <v>-5876</v>
      </c>
    </row>
    <row r="31" spans="1:3" x14ac:dyDescent="0.3">
      <c r="A31" s="1">
        <v>46052</v>
      </c>
      <c r="B31" t="s">
        <v>135</v>
      </c>
      <c r="C31">
        <v>23586</v>
      </c>
    </row>
    <row r="32" spans="1:3" x14ac:dyDescent="0.3">
      <c r="A32" s="1">
        <v>46053</v>
      </c>
      <c r="B32" t="s">
        <v>135</v>
      </c>
      <c r="C32">
        <v>19</v>
      </c>
    </row>
    <row r="33" spans="1:3" x14ac:dyDescent="0.3">
      <c r="A33" s="1">
        <v>46054</v>
      </c>
      <c r="B33" t="s">
        <v>134</v>
      </c>
      <c r="C33">
        <v>-9326</v>
      </c>
    </row>
    <row r="34" spans="1:3" x14ac:dyDescent="0.3">
      <c r="A34" s="1">
        <v>46055</v>
      </c>
      <c r="B34" t="s">
        <v>136</v>
      </c>
      <c r="C34">
        <v>11261</v>
      </c>
    </row>
    <row r="35" spans="1:3" x14ac:dyDescent="0.3">
      <c r="A35" s="1">
        <v>46056</v>
      </c>
      <c r="B35" t="s">
        <v>135</v>
      </c>
      <c r="C35">
        <v>12464</v>
      </c>
    </row>
    <row r="36" spans="1:3" x14ac:dyDescent="0.3">
      <c r="A36" s="1">
        <v>46057</v>
      </c>
      <c r="B36" t="s">
        <v>134</v>
      </c>
      <c r="C36">
        <v>-3688</v>
      </c>
    </row>
    <row r="37" spans="1:3" x14ac:dyDescent="0.3">
      <c r="A37" s="1">
        <v>46058</v>
      </c>
      <c r="B37" t="s">
        <v>134</v>
      </c>
      <c r="C37">
        <v>14045</v>
      </c>
    </row>
    <row r="38" spans="1:3" x14ac:dyDescent="0.3">
      <c r="A38" s="1">
        <v>46059</v>
      </c>
      <c r="B38" t="s">
        <v>135</v>
      </c>
      <c r="C38">
        <v>-4303</v>
      </c>
    </row>
    <row r="39" spans="1:3" x14ac:dyDescent="0.3">
      <c r="A39" s="1">
        <v>46060</v>
      </c>
      <c r="B39" t="s">
        <v>139</v>
      </c>
      <c r="C39">
        <v>-7078</v>
      </c>
    </row>
    <row r="40" spans="1:3" x14ac:dyDescent="0.3">
      <c r="A40" s="1">
        <v>46061</v>
      </c>
      <c r="B40" t="s">
        <v>135</v>
      </c>
      <c r="C40">
        <v>-13326</v>
      </c>
    </row>
    <row r="41" spans="1:3" x14ac:dyDescent="0.3">
      <c r="A41" s="1">
        <v>46062</v>
      </c>
      <c r="B41" t="s">
        <v>138</v>
      </c>
      <c r="C41">
        <v>3328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C523F-9017-49DC-B36A-2096791E4DD7}">
  <sheetPr>
    <tabColor theme="4" tint="0.79998168889431442"/>
  </sheetPr>
  <dimension ref="A1:L111"/>
  <sheetViews>
    <sheetView workbookViewId="0">
      <selection sqref="A1:C1"/>
    </sheetView>
  </sheetViews>
  <sheetFormatPr defaultRowHeight="14.4" x14ac:dyDescent="0.3"/>
  <cols>
    <col min="1" max="1" width="33.109375" customWidth="1"/>
    <col min="2" max="2" width="16.33203125" bestFit="1" customWidth="1"/>
    <col min="3" max="3" width="17.33203125" bestFit="1" customWidth="1"/>
    <col min="4" max="4" width="40.77734375" bestFit="1" customWidth="1"/>
    <col min="5" max="5" width="12.6640625" bestFit="1" customWidth="1"/>
    <col min="6" max="6" width="20.88671875" bestFit="1" customWidth="1"/>
    <col min="7" max="7" width="37.77734375" bestFit="1" customWidth="1"/>
    <col min="8" max="8" width="13.33203125" bestFit="1" customWidth="1"/>
    <col min="9" max="9" width="7.88671875" bestFit="1" customWidth="1"/>
    <col min="10" max="10" width="30.109375" bestFit="1" customWidth="1"/>
    <col min="11" max="11" width="12.6640625" bestFit="1" customWidth="1"/>
    <col min="12" max="12" width="17.44140625" bestFit="1" customWidth="1"/>
  </cols>
  <sheetData>
    <row r="1" spans="1:12" ht="21" x14ac:dyDescent="0.4">
      <c r="A1" s="156" t="s">
        <v>528</v>
      </c>
      <c r="B1" s="156"/>
      <c r="C1" s="156"/>
    </row>
    <row r="2" spans="1:12" x14ac:dyDescent="0.3">
      <c r="A2" s="42" t="s">
        <v>529</v>
      </c>
    </row>
    <row r="4" spans="1:12" ht="15.6" x14ac:dyDescent="0.3">
      <c r="A4" s="10" t="s">
        <v>530</v>
      </c>
      <c r="G4" s="44" t="s">
        <v>533</v>
      </c>
    </row>
    <row r="5" spans="1:12" x14ac:dyDescent="0.3">
      <c r="A5" s="43" t="s">
        <v>88</v>
      </c>
      <c r="B5" s="43" t="s">
        <v>132</v>
      </c>
      <c r="C5" s="43" t="s">
        <v>133</v>
      </c>
      <c r="D5" s="43" t="s">
        <v>531</v>
      </c>
      <c r="E5" s="43" t="s">
        <v>532</v>
      </c>
      <c r="F5" s="43" t="s">
        <v>551</v>
      </c>
      <c r="G5" s="43" t="s">
        <v>88</v>
      </c>
      <c r="H5" s="43" t="s">
        <v>132</v>
      </c>
      <c r="I5" s="43" t="s">
        <v>133</v>
      </c>
      <c r="J5" s="43" t="s">
        <v>531</v>
      </c>
      <c r="K5" s="43" t="s">
        <v>532</v>
      </c>
      <c r="L5" s="43" t="s">
        <v>551</v>
      </c>
    </row>
    <row r="6" spans="1:12" x14ac:dyDescent="0.3">
      <c r="A6" s="45">
        <f>Bank_Books!A2</f>
        <v>46023</v>
      </c>
      <c r="B6" t="str">
        <f>Bank_Books!B2</f>
        <v>Consulting Fee</v>
      </c>
      <c r="C6" s="36">
        <f>Bank_Books!C2</f>
        <v>21673</v>
      </c>
      <c r="D6" t="str">
        <f t="shared" ref="D6:D45" si="0">TEXT(A6,"YYYY-MM-DD")&amp;"|"&amp;B6&amp;"|"&amp;C6</f>
        <v>2026-01-01|Consulting Fee|21673</v>
      </c>
      <c r="E6" t="str">
        <f t="shared" ref="E6:E45" si="1">IF(COUNTIF($J$6:$J$45,D6)&gt;0,"✓ Matched","✗ Unmatched")</f>
        <v>✗ Unmatched</v>
      </c>
      <c r="F6" t="str">
        <f t="shared" ref="F6:F45" si="2">IF(COUNTIF($G$6:$G$45,A6)&gt;0,"Date exists in Statement","Date not found")</f>
        <v>Date exists in Statement</v>
      </c>
      <c r="G6" s="45">
        <f>Bank_Statement!A2</f>
        <v>46023</v>
      </c>
      <c r="H6" t="str">
        <f>Bank_Statement!B2</f>
        <v>Client Payment</v>
      </c>
      <c r="I6" s="36">
        <f>Bank_Statement!C2</f>
        <v>10997</v>
      </c>
      <c r="J6" t="str">
        <f t="shared" ref="J6:J45" si="3">TEXT(G6,"YYYY-MM-DD")&amp;"|"&amp;H6&amp;"|"&amp;I6</f>
        <v>2026-01-01|Client Payment|10997</v>
      </c>
      <c r="K6" t="str">
        <f t="shared" ref="K6:K45" si="4">IF(COUNTIF($D$6:$D$45,J6)&gt;0,"✓ Matched","✗ Unmatched")</f>
        <v>✗ Unmatched</v>
      </c>
      <c r="L6" t="str">
        <f t="shared" ref="L6:L45" si="5">IF(COUNTIF($A$6:$A$45,G6)&gt;0,"Date exists in Books","Date not found")</f>
        <v>Date exists in Books</v>
      </c>
    </row>
    <row r="7" spans="1:12" x14ac:dyDescent="0.3">
      <c r="A7" s="45">
        <f>Bank_Books!A3</f>
        <v>46024</v>
      </c>
      <c r="B7" t="str">
        <f>Bank_Books!B3</f>
        <v>Consulting Fee</v>
      </c>
      <c r="C7" s="36">
        <f>Bank_Books!C3</f>
        <v>-13047</v>
      </c>
      <c r="D7" t="str">
        <f t="shared" si="0"/>
        <v>2026-01-02|Consulting Fee|-13047</v>
      </c>
      <c r="E7" t="str">
        <f t="shared" si="1"/>
        <v>✗ Unmatched</v>
      </c>
      <c r="F7" t="str">
        <f t="shared" si="2"/>
        <v>Date exists in Statement</v>
      </c>
      <c r="G7" s="45">
        <f>Bank_Statement!A3</f>
        <v>46024</v>
      </c>
      <c r="H7" t="str">
        <f>Bank_Statement!B3</f>
        <v>Office Rent</v>
      </c>
      <c r="I7" s="36">
        <f>Bank_Statement!C3</f>
        <v>19376</v>
      </c>
      <c r="J7" t="str">
        <f t="shared" si="3"/>
        <v>2026-01-02|Office Rent|19376</v>
      </c>
      <c r="K7" t="str">
        <f t="shared" si="4"/>
        <v>✗ Unmatched</v>
      </c>
      <c r="L7" t="str">
        <f t="shared" si="5"/>
        <v>Date exists in Books</v>
      </c>
    </row>
    <row r="8" spans="1:12" x14ac:dyDescent="0.3">
      <c r="A8" s="45">
        <f>Bank_Books!A4</f>
        <v>46025</v>
      </c>
      <c r="B8" t="str">
        <f>Bank_Books!B4</f>
        <v>Consulting Fee</v>
      </c>
      <c r="C8" s="36">
        <f>Bank_Books!C4</f>
        <v>19375</v>
      </c>
      <c r="D8" t="str">
        <f t="shared" si="0"/>
        <v>2026-01-03|Consulting Fee|19375</v>
      </c>
      <c r="E8" t="str">
        <f t="shared" si="1"/>
        <v>✗ Unmatched</v>
      </c>
      <c r="F8" t="str">
        <f t="shared" si="2"/>
        <v>Date exists in Statement</v>
      </c>
      <c r="G8" s="45">
        <f>Bank_Statement!A4</f>
        <v>46025</v>
      </c>
      <c r="H8" t="str">
        <f>Bank_Statement!B4</f>
        <v>Office Rent</v>
      </c>
      <c r="I8" s="36">
        <f>Bank_Statement!C4</f>
        <v>18559</v>
      </c>
      <c r="J8" t="str">
        <f t="shared" si="3"/>
        <v>2026-01-03|Office Rent|18559</v>
      </c>
      <c r="K8" t="str">
        <f t="shared" si="4"/>
        <v>✗ Unmatched</v>
      </c>
      <c r="L8" t="str">
        <f t="shared" si="5"/>
        <v>Date exists in Books</v>
      </c>
    </row>
    <row r="9" spans="1:12" x14ac:dyDescent="0.3">
      <c r="A9" s="45">
        <f>Bank_Books!A5</f>
        <v>46026</v>
      </c>
      <c r="B9" t="str">
        <f>Bank_Books!B5</f>
        <v>Utility Bill</v>
      </c>
      <c r="C9" s="36">
        <f>Bank_Books!C5</f>
        <v>12429</v>
      </c>
      <c r="D9" t="str">
        <f t="shared" si="0"/>
        <v>2026-01-04|Utility Bill|12429</v>
      </c>
      <c r="E9" t="str">
        <f t="shared" si="1"/>
        <v>✗ Unmatched</v>
      </c>
      <c r="F9" t="str">
        <f t="shared" si="2"/>
        <v>Date exists in Statement</v>
      </c>
      <c r="G9" s="45">
        <f>Bank_Statement!A5</f>
        <v>46026</v>
      </c>
      <c r="H9" t="str">
        <f>Bank_Statement!B5</f>
        <v>Client Payment</v>
      </c>
      <c r="I9" s="36">
        <f>Bank_Statement!C5</f>
        <v>-7646</v>
      </c>
      <c r="J9" t="str">
        <f t="shared" si="3"/>
        <v>2026-01-04|Client Payment|-7646</v>
      </c>
      <c r="K9" t="str">
        <f t="shared" si="4"/>
        <v>✗ Unmatched</v>
      </c>
      <c r="L9" t="str">
        <f t="shared" si="5"/>
        <v>Date exists in Books</v>
      </c>
    </row>
    <row r="10" spans="1:12" x14ac:dyDescent="0.3">
      <c r="A10" s="45">
        <f>Bank_Books!A6</f>
        <v>46027</v>
      </c>
      <c r="B10" t="str">
        <f>Bank_Books!B6</f>
        <v>Office Rent</v>
      </c>
      <c r="C10" s="36">
        <f>Bank_Books!C6</f>
        <v>9070</v>
      </c>
      <c r="D10" t="str">
        <f t="shared" si="0"/>
        <v>2026-01-05|Office Rent|9070</v>
      </c>
      <c r="E10" t="str">
        <f t="shared" si="1"/>
        <v>✗ Unmatched</v>
      </c>
      <c r="F10" t="str">
        <f t="shared" si="2"/>
        <v>Date exists in Statement</v>
      </c>
      <c r="G10" s="45">
        <f>Bank_Statement!A6</f>
        <v>46027</v>
      </c>
      <c r="H10" t="str">
        <f>Bank_Statement!B6</f>
        <v>Office Rent</v>
      </c>
      <c r="I10" s="36">
        <f>Bank_Statement!C6</f>
        <v>2360</v>
      </c>
      <c r="J10" t="str">
        <f t="shared" si="3"/>
        <v>2026-01-05|Office Rent|2360</v>
      </c>
      <c r="K10" t="str">
        <f t="shared" si="4"/>
        <v>✗ Unmatched</v>
      </c>
      <c r="L10" t="str">
        <f t="shared" si="5"/>
        <v>Date exists in Books</v>
      </c>
    </row>
    <row r="11" spans="1:12" x14ac:dyDescent="0.3">
      <c r="A11" s="45">
        <f>Bank_Books!A7</f>
        <v>46028</v>
      </c>
      <c r="B11" t="str">
        <f>Bank_Books!B7</f>
        <v>Software Purchase</v>
      </c>
      <c r="C11" s="36">
        <f>Bank_Books!C7</f>
        <v>15876</v>
      </c>
      <c r="D11" t="str">
        <f t="shared" si="0"/>
        <v>2026-01-06|Software Purchase|15876</v>
      </c>
      <c r="E11" t="str">
        <f t="shared" si="1"/>
        <v>✗ Unmatched</v>
      </c>
      <c r="F11" t="str">
        <f t="shared" si="2"/>
        <v>Date exists in Statement</v>
      </c>
      <c r="G11" s="45">
        <f>Bank_Statement!A7</f>
        <v>46028</v>
      </c>
      <c r="H11" t="str">
        <f>Bank_Statement!B7</f>
        <v>Client Payment</v>
      </c>
      <c r="I11" s="36">
        <f>Bank_Statement!C7</f>
        <v>17153</v>
      </c>
      <c r="J11" t="str">
        <f t="shared" si="3"/>
        <v>2026-01-06|Client Payment|17153</v>
      </c>
      <c r="K11" t="str">
        <f t="shared" si="4"/>
        <v>✗ Unmatched</v>
      </c>
      <c r="L11" t="str">
        <f t="shared" si="5"/>
        <v>Date exists in Books</v>
      </c>
    </row>
    <row r="12" spans="1:12" x14ac:dyDescent="0.3">
      <c r="A12" s="45">
        <f>Bank_Books!A8</f>
        <v>46029</v>
      </c>
      <c r="B12" t="str">
        <f>Bank_Books!B8</f>
        <v>Client Payment</v>
      </c>
      <c r="C12" s="36">
        <f>Bank_Books!C8</f>
        <v>-7221</v>
      </c>
      <c r="D12" t="str">
        <f t="shared" si="0"/>
        <v>2026-01-07|Client Payment|-7221</v>
      </c>
      <c r="E12" t="str">
        <f t="shared" si="1"/>
        <v>✗ Unmatched</v>
      </c>
      <c r="F12" t="str">
        <f t="shared" si="2"/>
        <v>Date exists in Statement</v>
      </c>
      <c r="G12" s="45">
        <f>Bank_Statement!A8</f>
        <v>46029</v>
      </c>
      <c r="H12" t="str">
        <f>Bank_Statement!B8</f>
        <v>Utility Bill</v>
      </c>
      <c r="I12" s="36">
        <f>Bank_Statement!C8</f>
        <v>-4586</v>
      </c>
      <c r="J12" t="str">
        <f t="shared" si="3"/>
        <v>2026-01-07|Utility Bill|-4586</v>
      </c>
      <c r="K12" t="str">
        <f t="shared" si="4"/>
        <v>✗ Unmatched</v>
      </c>
      <c r="L12" t="str">
        <f t="shared" si="5"/>
        <v>Date exists in Books</v>
      </c>
    </row>
    <row r="13" spans="1:12" x14ac:dyDescent="0.3">
      <c r="A13" s="45">
        <f>Bank_Books!A9</f>
        <v>46030</v>
      </c>
      <c r="B13" t="str">
        <f>Bank_Books!B9</f>
        <v>Client Payment</v>
      </c>
      <c r="C13" s="36">
        <f>Bank_Books!C9</f>
        <v>-2163</v>
      </c>
      <c r="D13" t="str">
        <f t="shared" si="0"/>
        <v>2026-01-08|Client Payment|-2163</v>
      </c>
      <c r="E13" t="str">
        <f t="shared" si="1"/>
        <v>✗ Unmatched</v>
      </c>
      <c r="F13" t="str">
        <f t="shared" si="2"/>
        <v>Date exists in Statement</v>
      </c>
      <c r="G13" s="45">
        <f>Bank_Statement!A9</f>
        <v>46030</v>
      </c>
      <c r="H13" t="str">
        <f>Bank_Statement!B9</f>
        <v>Office Rent</v>
      </c>
      <c r="I13" s="36">
        <f>Bank_Statement!C9</f>
        <v>-3633</v>
      </c>
      <c r="J13" t="str">
        <f t="shared" si="3"/>
        <v>2026-01-08|Office Rent|-3633</v>
      </c>
      <c r="K13" t="str">
        <f t="shared" si="4"/>
        <v>✗ Unmatched</v>
      </c>
      <c r="L13" t="str">
        <f t="shared" si="5"/>
        <v>Date exists in Books</v>
      </c>
    </row>
    <row r="14" spans="1:12" x14ac:dyDescent="0.3">
      <c r="A14" s="45">
        <f>Bank_Books!A10</f>
        <v>46031</v>
      </c>
      <c r="B14" t="str">
        <f>Bank_Books!B10</f>
        <v>Utility Bill</v>
      </c>
      <c r="C14" s="36">
        <f>Bank_Books!C10</f>
        <v>-9499</v>
      </c>
      <c r="D14" t="str">
        <f t="shared" si="0"/>
        <v>2026-01-09|Utility Bill|-9499</v>
      </c>
      <c r="E14" t="str">
        <f t="shared" si="1"/>
        <v>✗ Unmatched</v>
      </c>
      <c r="F14" t="str">
        <f t="shared" si="2"/>
        <v>Date exists in Statement</v>
      </c>
      <c r="G14" s="45">
        <f>Bank_Statement!A10</f>
        <v>46031</v>
      </c>
      <c r="H14" t="str">
        <f>Bank_Statement!B10</f>
        <v>Bank Charges</v>
      </c>
      <c r="I14" s="36">
        <f>Bank_Statement!C10</f>
        <v>12001</v>
      </c>
      <c r="J14" t="str">
        <f t="shared" si="3"/>
        <v>2026-01-09|Bank Charges|12001</v>
      </c>
      <c r="K14" t="str">
        <f t="shared" si="4"/>
        <v>✗ Unmatched</v>
      </c>
      <c r="L14" t="str">
        <f t="shared" si="5"/>
        <v>Date exists in Books</v>
      </c>
    </row>
    <row r="15" spans="1:12" x14ac:dyDescent="0.3">
      <c r="A15" s="45">
        <f>Bank_Books!A11</f>
        <v>46032</v>
      </c>
      <c r="B15" t="str">
        <f>Bank_Books!B11</f>
        <v>Utility Bill</v>
      </c>
      <c r="C15" s="36">
        <f>Bank_Books!C11</f>
        <v>-14246</v>
      </c>
      <c r="D15" t="str">
        <f t="shared" si="0"/>
        <v>2026-01-10|Utility Bill|-14246</v>
      </c>
      <c r="E15" t="str">
        <f t="shared" si="1"/>
        <v>✗ Unmatched</v>
      </c>
      <c r="F15" t="str">
        <f t="shared" si="2"/>
        <v>Date exists in Statement</v>
      </c>
      <c r="G15" s="45">
        <f>Bank_Statement!A11</f>
        <v>46032</v>
      </c>
      <c r="H15" t="str">
        <f>Bank_Statement!B11</f>
        <v>Client Payment</v>
      </c>
      <c r="I15" s="36">
        <f>Bank_Statement!C11</f>
        <v>-8247</v>
      </c>
      <c r="J15" t="str">
        <f t="shared" si="3"/>
        <v>2026-01-10|Client Payment|-8247</v>
      </c>
      <c r="K15" t="str">
        <f t="shared" si="4"/>
        <v>✗ Unmatched</v>
      </c>
      <c r="L15" t="str">
        <f t="shared" si="5"/>
        <v>Date exists in Books</v>
      </c>
    </row>
    <row r="16" spans="1:12" x14ac:dyDescent="0.3">
      <c r="A16" s="45">
        <f>Bank_Books!A12</f>
        <v>46033</v>
      </c>
      <c r="B16" t="str">
        <f>Bank_Books!B12</f>
        <v>Utility Bill</v>
      </c>
      <c r="C16" s="36">
        <f>Bank_Books!C12</f>
        <v>8049</v>
      </c>
      <c r="D16" t="str">
        <f t="shared" si="0"/>
        <v>2026-01-11|Utility Bill|8049</v>
      </c>
      <c r="E16" t="str">
        <f t="shared" si="1"/>
        <v>✗ Unmatched</v>
      </c>
      <c r="F16" t="str">
        <f t="shared" si="2"/>
        <v>Date exists in Statement</v>
      </c>
      <c r="G16" s="45">
        <f>Bank_Statement!A12</f>
        <v>46033</v>
      </c>
      <c r="H16" t="str">
        <f>Bank_Statement!B12</f>
        <v>Utility Bill</v>
      </c>
      <c r="I16" s="36">
        <f>Bank_Statement!C12</f>
        <v>-11811</v>
      </c>
      <c r="J16" t="str">
        <f t="shared" si="3"/>
        <v>2026-01-11|Utility Bill|-11811</v>
      </c>
      <c r="K16" t="str">
        <f t="shared" si="4"/>
        <v>✗ Unmatched</v>
      </c>
      <c r="L16" t="str">
        <f t="shared" si="5"/>
        <v>Date exists in Books</v>
      </c>
    </row>
    <row r="17" spans="1:12" x14ac:dyDescent="0.3">
      <c r="A17" s="45">
        <f>Bank_Books!A13</f>
        <v>46034</v>
      </c>
      <c r="B17" t="str">
        <f>Bank_Books!B13</f>
        <v>Office Rent</v>
      </c>
      <c r="C17" s="36">
        <f>Bank_Books!C13</f>
        <v>12737</v>
      </c>
      <c r="D17" t="str">
        <f t="shared" si="0"/>
        <v>2026-01-12|Office Rent|12737</v>
      </c>
      <c r="E17" t="str">
        <f t="shared" si="1"/>
        <v>✗ Unmatched</v>
      </c>
      <c r="F17" t="str">
        <f t="shared" si="2"/>
        <v>Date exists in Statement</v>
      </c>
      <c r="G17" s="45">
        <f>Bank_Statement!A13</f>
        <v>46034</v>
      </c>
      <c r="H17" t="str">
        <f>Bank_Statement!B13</f>
        <v>Client Payment</v>
      </c>
      <c r="I17" s="36">
        <f>Bank_Statement!C13</f>
        <v>18674</v>
      </c>
      <c r="J17" t="str">
        <f t="shared" si="3"/>
        <v>2026-01-12|Client Payment|18674</v>
      </c>
      <c r="K17" t="str">
        <f t="shared" si="4"/>
        <v>✗ Unmatched</v>
      </c>
      <c r="L17" t="str">
        <f t="shared" si="5"/>
        <v>Date exists in Books</v>
      </c>
    </row>
    <row r="18" spans="1:12" x14ac:dyDescent="0.3">
      <c r="A18" s="45">
        <f>Bank_Books!A14</f>
        <v>46035</v>
      </c>
      <c r="B18" t="str">
        <f>Bank_Books!B14</f>
        <v>Client Payment</v>
      </c>
      <c r="C18" s="36">
        <f>Bank_Books!C14</f>
        <v>-11846</v>
      </c>
      <c r="D18" t="str">
        <f t="shared" si="0"/>
        <v>2026-01-13|Client Payment|-11846</v>
      </c>
      <c r="E18" t="str">
        <f t="shared" si="1"/>
        <v>✗ Unmatched</v>
      </c>
      <c r="F18" t="str">
        <f t="shared" si="2"/>
        <v>Date exists in Statement</v>
      </c>
      <c r="G18" s="45">
        <f>Bank_Statement!A14</f>
        <v>46035</v>
      </c>
      <c r="H18" t="str">
        <f>Bank_Statement!B14</f>
        <v>Bank Charges</v>
      </c>
      <c r="I18" s="36">
        <f>Bank_Statement!C14</f>
        <v>-10525</v>
      </c>
      <c r="J18" t="str">
        <f t="shared" si="3"/>
        <v>2026-01-13|Bank Charges|-10525</v>
      </c>
      <c r="K18" t="str">
        <f t="shared" si="4"/>
        <v>✗ Unmatched</v>
      </c>
      <c r="L18" t="str">
        <f t="shared" si="5"/>
        <v>Date exists in Books</v>
      </c>
    </row>
    <row r="19" spans="1:12" x14ac:dyDescent="0.3">
      <c r="A19" s="45">
        <f>Bank_Books!A15</f>
        <v>46036</v>
      </c>
      <c r="B19" t="str">
        <f>Bank_Books!B15</f>
        <v>Consulting Fee</v>
      </c>
      <c r="C19" s="36">
        <f>Bank_Books!C15</f>
        <v>14921</v>
      </c>
      <c r="D19" t="str">
        <f t="shared" si="0"/>
        <v>2026-01-14|Consulting Fee|14921</v>
      </c>
      <c r="E19" t="str">
        <f t="shared" si="1"/>
        <v>✗ Unmatched</v>
      </c>
      <c r="F19" t="str">
        <f t="shared" si="2"/>
        <v>Date exists in Statement</v>
      </c>
      <c r="G19" s="45">
        <f>Bank_Statement!A15</f>
        <v>46036</v>
      </c>
      <c r="H19" t="str">
        <f>Bank_Statement!B15</f>
        <v>Consulting Fee</v>
      </c>
      <c r="I19" s="36">
        <f>Bank_Statement!C15</f>
        <v>10523</v>
      </c>
      <c r="J19" t="str">
        <f t="shared" si="3"/>
        <v>2026-01-14|Consulting Fee|10523</v>
      </c>
      <c r="K19" t="str">
        <f t="shared" si="4"/>
        <v>✗ Unmatched</v>
      </c>
      <c r="L19" t="str">
        <f t="shared" si="5"/>
        <v>Date exists in Books</v>
      </c>
    </row>
    <row r="20" spans="1:12" x14ac:dyDescent="0.3">
      <c r="A20" s="45">
        <f>Bank_Books!A16</f>
        <v>46037</v>
      </c>
      <c r="B20" t="str">
        <f>Bank_Books!B16</f>
        <v>Software Purchase</v>
      </c>
      <c r="C20" s="36">
        <f>Bank_Books!C16</f>
        <v>-5231</v>
      </c>
      <c r="D20" t="str">
        <f t="shared" si="0"/>
        <v>2026-01-15|Software Purchase|-5231</v>
      </c>
      <c r="E20" t="str">
        <f t="shared" si="1"/>
        <v>✗ Unmatched</v>
      </c>
      <c r="F20" t="str">
        <f t="shared" si="2"/>
        <v>Date exists in Statement</v>
      </c>
      <c r="G20" s="45">
        <f>Bank_Statement!A16</f>
        <v>46037</v>
      </c>
      <c r="H20" t="str">
        <f>Bank_Statement!B16</f>
        <v>Utility Bill</v>
      </c>
      <c r="I20" s="36">
        <f>Bank_Statement!C16</f>
        <v>20984</v>
      </c>
      <c r="J20" t="str">
        <f t="shared" si="3"/>
        <v>2026-01-15|Utility Bill|20984</v>
      </c>
      <c r="K20" t="str">
        <f t="shared" si="4"/>
        <v>✗ Unmatched</v>
      </c>
      <c r="L20" t="str">
        <f t="shared" si="5"/>
        <v>Date exists in Books</v>
      </c>
    </row>
    <row r="21" spans="1:12" x14ac:dyDescent="0.3">
      <c r="A21" s="45">
        <f>Bank_Books!A17</f>
        <v>46038</v>
      </c>
      <c r="B21" t="str">
        <f>Bank_Books!B17</f>
        <v>Client Payment</v>
      </c>
      <c r="C21" s="36">
        <f>Bank_Books!C17</f>
        <v>24311</v>
      </c>
      <c r="D21" t="str">
        <f t="shared" si="0"/>
        <v>2026-01-16|Client Payment|24311</v>
      </c>
      <c r="E21" t="str">
        <f t="shared" si="1"/>
        <v>✗ Unmatched</v>
      </c>
      <c r="F21" t="str">
        <f t="shared" si="2"/>
        <v>Date exists in Statement</v>
      </c>
      <c r="G21" s="45">
        <f>Bank_Statement!A17</f>
        <v>46038</v>
      </c>
      <c r="H21" t="str">
        <f>Bank_Statement!B17</f>
        <v>Utility Bill</v>
      </c>
      <c r="I21" s="36">
        <f>Bank_Statement!C17</f>
        <v>21968</v>
      </c>
      <c r="J21" t="str">
        <f t="shared" si="3"/>
        <v>2026-01-16|Utility Bill|21968</v>
      </c>
      <c r="K21" t="str">
        <f t="shared" si="4"/>
        <v>✗ Unmatched</v>
      </c>
      <c r="L21" t="str">
        <f t="shared" si="5"/>
        <v>Date exists in Books</v>
      </c>
    </row>
    <row r="22" spans="1:12" x14ac:dyDescent="0.3">
      <c r="A22" s="45">
        <f>Bank_Books!A18</f>
        <v>46039</v>
      </c>
      <c r="B22" t="str">
        <f>Bank_Books!B18</f>
        <v>Software Purchase</v>
      </c>
      <c r="C22" s="36">
        <f>Bank_Books!C18</f>
        <v>9396</v>
      </c>
      <c r="D22" t="str">
        <f t="shared" si="0"/>
        <v>2026-01-17|Software Purchase|9396</v>
      </c>
      <c r="E22" t="str">
        <f t="shared" si="1"/>
        <v>✗ Unmatched</v>
      </c>
      <c r="F22" t="str">
        <f t="shared" si="2"/>
        <v>Date exists in Statement</v>
      </c>
      <c r="G22" s="45">
        <f>Bank_Statement!A18</f>
        <v>46039</v>
      </c>
      <c r="H22" t="str">
        <f>Bank_Statement!B18</f>
        <v>Bank Charges</v>
      </c>
      <c r="I22" s="36">
        <f>Bank_Statement!C18</f>
        <v>22634</v>
      </c>
      <c r="J22" t="str">
        <f t="shared" si="3"/>
        <v>2026-01-17|Bank Charges|22634</v>
      </c>
      <c r="K22" t="str">
        <f t="shared" si="4"/>
        <v>✗ Unmatched</v>
      </c>
      <c r="L22" t="str">
        <f t="shared" si="5"/>
        <v>Date exists in Books</v>
      </c>
    </row>
    <row r="23" spans="1:12" x14ac:dyDescent="0.3">
      <c r="A23" s="45">
        <f>Bank_Books!A19</f>
        <v>46040</v>
      </c>
      <c r="B23" t="str">
        <f>Bank_Books!B19</f>
        <v>Software Purchase</v>
      </c>
      <c r="C23" s="36">
        <f>Bank_Books!C19</f>
        <v>3161</v>
      </c>
      <c r="D23" t="str">
        <f t="shared" si="0"/>
        <v>2026-01-18|Software Purchase|3161</v>
      </c>
      <c r="E23" t="str">
        <f t="shared" si="1"/>
        <v>✗ Unmatched</v>
      </c>
      <c r="F23" t="str">
        <f t="shared" si="2"/>
        <v>Date exists in Statement</v>
      </c>
      <c r="G23" s="45">
        <f>Bank_Statement!A19</f>
        <v>46040</v>
      </c>
      <c r="H23" t="str">
        <f>Bank_Statement!B19</f>
        <v>Utility Bill</v>
      </c>
      <c r="I23" s="36">
        <f>Bank_Statement!C19</f>
        <v>22694</v>
      </c>
      <c r="J23" t="str">
        <f t="shared" si="3"/>
        <v>2026-01-18|Utility Bill|22694</v>
      </c>
      <c r="K23" t="str">
        <f t="shared" si="4"/>
        <v>✗ Unmatched</v>
      </c>
      <c r="L23" t="str">
        <f t="shared" si="5"/>
        <v>Date exists in Books</v>
      </c>
    </row>
    <row r="24" spans="1:12" x14ac:dyDescent="0.3">
      <c r="A24" s="45">
        <f>Bank_Books!A20</f>
        <v>46041</v>
      </c>
      <c r="B24" t="str">
        <f>Bank_Books!B20</f>
        <v>Consulting Fee</v>
      </c>
      <c r="C24" s="36">
        <f>Bank_Books!C20</f>
        <v>14487</v>
      </c>
      <c r="D24" t="str">
        <f t="shared" si="0"/>
        <v>2026-01-19|Consulting Fee|14487</v>
      </c>
      <c r="E24" t="str">
        <f t="shared" si="1"/>
        <v>✗ Unmatched</v>
      </c>
      <c r="F24" t="str">
        <f t="shared" si="2"/>
        <v>Date exists in Statement</v>
      </c>
      <c r="G24" s="45">
        <f>Bank_Statement!A20</f>
        <v>46041</v>
      </c>
      <c r="H24" t="str">
        <f>Bank_Statement!B20</f>
        <v>Consulting Fee</v>
      </c>
      <c r="I24" s="36">
        <f>Bank_Statement!C20</f>
        <v>-6344</v>
      </c>
      <c r="J24" t="str">
        <f t="shared" si="3"/>
        <v>2026-01-19|Consulting Fee|-6344</v>
      </c>
      <c r="K24" t="str">
        <f t="shared" si="4"/>
        <v>✗ Unmatched</v>
      </c>
      <c r="L24" t="str">
        <f t="shared" si="5"/>
        <v>Date exists in Books</v>
      </c>
    </row>
    <row r="25" spans="1:12" x14ac:dyDescent="0.3">
      <c r="A25" s="45">
        <f>Bank_Books!A21</f>
        <v>46042</v>
      </c>
      <c r="B25" t="str">
        <f>Bank_Books!B21</f>
        <v>Client Payment</v>
      </c>
      <c r="C25" s="36">
        <f>Bank_Books!C21</f>
        <v>10506</v>
      </c>
      <c r="D25" t="str">
        <f t="shared" si="0"/>
        <v>2026-01-20|Client Payment|10506</v>
      </c>
      <c r="E25" t="str">
        <f t="shared" si="1"/>
        <v>✗ Unmatched</v>
      </c>
      <c r="F25" t="str">
        <f t="shared" si="2"/>
        <v>Date exists in Statement</v>
      </c>
      <c r="G25" s="45">
        <f>Bank_Statement!A21</f>
        <v>46042</v>
      </c>
      <c r="H25" t="str">
        <f>Bank_Statement!B21</f>
        <v>Office Rent</v>
      </c>
      <c r="I25" s="36">
        <f>Bank_Statement!C21</f>
        <v>15762</v>
      </c>
      <c r="J25" t="str">
        <f t="shared" si="3"/>
        <v>2026-01-20|Office Rent|15762</v>
      </c>
      <c r="K25" t="str">
        <f t="shared" si="4"/>
        <v>✗ Unmatched</v>
      </c>
      <c r="L25" t="str">
        <f t="shared" si="5"/>
        <v>Date exists in Books</v>
      </c>
    </row>
    <row r="26" spans="1:12" x14ac:dyDescent="0.3">
      <c r="A26" s="45">
        <f>Bank_Books!A22</f>
        <v>46043</v>
      </c>
      <c r="B26" t="str">
        <f>Bank_Books!B22</f>
        <v>Utility Bill</v>
      </c>
      <c r="C26" s="36">
        <f>Bank_Books!C22</f>
        <v>10450</v>
      </c>
      <c r="D26" t="str">
        <f t="shared" si="0"/>
        <v>2026-01-21|Utility Bill|10450</v>
      </c>
      <c r="E26" t="str">
        <f t="shared" si="1"/>
        <v>✗ Unmatched</v>
      </c>
      <c r="F26" t="str">
        <f t="shared" si="2"/>
        <v>Date exists in Statement</v>
      </c>
      <c r="G26" s="45">
        <f>Bank_Statement!A22</f>
        <v>46043</v>
      </c>
      <c r="H26" t="str">
        <f>Bank_Statement!B22</f>
        <v>Utility Bill</v>
      </c>
      <c r="I26" s="36">
        <f>Bank_Statement!C22</f>
        <v>-5112</v>
      </c>
      <c r="J26" t="str">
        <f t="shared" si="3"/>
        <v>2026-01-21|Utility Bill|-5112</v>
      </c>
      <c r="K26" t="str">
        <f t="shared" si="4"/>
        <v>✗ Unmatched</v>
      </c>
      <c r="L26" t="str">
        <f t="shared" si="5"/>
        <v>Date exists in Books</v>
      </c>
    </row>
    <row r="27" spans="1:12" x14ac:dyDescent="0.3">
      <c r="A27" s="45">
        <f>Bank_Books!A23</f>
        <v>46044</v>
      </c>
      <c r="B27" t="str">
        <f>Bank_Books!B23</f>
        <v>Utility Bill</v>
      </c>
      <c r="C27" s="36">
        <f>Bank_Books!C23</f>
        <v>4979</v>
      </c>
      <c r="D27" t="str">
        <f t="shared" si="0"/>
        <v>2026-01-22|Utility Bill|4979</v>
      </c>
      <c r="E27" t="str">
        <f t="shared" si="1"/>
        <v>✗ Unmatched</v>
      </c>
      <c r="F27" t="str">
        <f t="shared" si="2"/>
        <v>Date exists in Statement</v>
      </c>
      <c r="G27" s="45">
        <f>Bank_Statement!A23</f>
        <v>46044</v>
      </c>
      <c r="H27" t="str">
        <f>Bank_Statement!B23</f>
        <v>Bank Charges</v>
      </c>
      <c r="I27" s="36">
        <f>Bank_Statement!C23</f>
        <v>23560</v>
      </c>
      <c r="J27" t="str">
        <f t="shared" si="3"/>
        <v>2026-01-22|Bank Charges|23560</v>
      </c>
      <c r="K27" t="str">
        <f t="shared" si="4"/>
        <v>✗ Unmatched</v>
      </c>
      <c r="L27" t="str">
        <f t="shared" si="5"/>
        <v>Date exists in Books</v>
      </c>
    </row>
    <row r="28" spans="1:12" x14ac:dyDescent="0.3">
      <c r="A28" s="45">
        <f>Bank_Books!A24</f>
        <v>46045</v>
      </c>
      <c r="B28" t="str">
        <f>Bank_Books!B24</f>
        <v>Client Payment</v>
      </c>
      <c r="C28" s="36">
        <f>Bank_Books!C24</f>
        <v>6912</v>
      </c>
      <c r="D28" t="str">
        <f t="shared" si="0"/>
        <v>2026-01-23|Client Payment|6912</v>
      </c>
      <c r="E28" t="str">
        <f t="shared" si="1"/>
        <v>✗ Unmatched</v>
      </c>
      <c r="F28" t="str">
        <f t="shared" si="2"/>
        <v>Date exists in Statement</v>
      </c>
      <c r="G28" s="45">
        <f>Bank_Statement!A24</f>
        <v>46045</v>
      </c>
      <c r="H28" t="str">
        <f>Bank_Statement!B24</f>
        <v>Consulting Fee</v>
      </c>
      <c r="I28" s="36">
        <f>Bank_Statement!C24</f>
        <v>-1989</v>
      </c>
      <c r="J28" t="str">
        <f t="shared" si="3"/>
        <v>2026-01-23|Consulting Fee|-1989</v>
      </c>
      <c r="K28" t="str">
        <f t="shared" si="4"/>
        <v>✗ Unmatched</v>
      </c>
      <c r="L28" t="str">
        <f t="shared" si="5"/>
        <v>Date exists in Books</v>
      </c>
    </row>
    <row r="29" spans="1:12" x14ac:dyDescent="0.3">
      <c r="A29" s="45">
        <f>Bank_Books!A25</f>
        <v>46046</v>
      </c>
      <c r="B29" t="str">
        <f>Bank_Books!B25</f>
        <v>Software Purchase</v>
      </c>
      <c r="C29" s="36">
        <f>Bank_Books!C25</f>
        <v>-9385</v>
      </c>
      <c r="D29" t="str">
        <f t="shared" si="0"/>
        <v>2026-01-24|Software Purchase|-9385</v>
      </c>
      <c r="E29" t="str">
        <f t="shared" si="1"/>
        <v>✗ Unmatched</v>
      </c>
      <c r="F29" t="str">
        <f t="shared" si="2"/>
        <v>Date exists in Statement</v>
      </c>
      <c r="G29" s="45">
        <f>Bank_Statement!A25</f>
        <v>46046</v>
      </c>
      <c r="H29" t="str">
        <f>Bank_Statement!B25</f>
        <v>Client Payment</v>
      </c>
      <c r="I29" s="36">
        <f>Bank_Statement!C25</f>
        <v>5307</v>
      </c>
      <c r="J29" t="str">
        <f t="shared" si="3"/>
        <v>2026-01-24|Client Payment|5307</v>
      </c>
      <c r="K29" t="str">
        <f t="shared" si="4"/>
        <v>✗ Unmatched</v>
      </c>
      <c r="L29" t="str">
        <f t="shared" si="5"/>
        <v>Date exists in Books</v>
      </c>
    </row>
    <row r="30" spans="1:12" x14ac:dyDescent="0.3">
      <c r="A30" s="45">
        <f>Bank_Books!A26</f>
        <v>46047</v>
      </c>
      <c r="B30" t="str">
        <f>Bank_Books!B26</f>
        <v>Consulting Fee</v>
      </c>
      <c r="C30" s="36">
        <f>Bank_Books!C26</f>
        <v>1115</v>
      </c>
      <c r="D30" t="str">
        <f t="shared" si="0"/>
        <v>2026-01-25|Consulting Fee|1115</v>
      </c>
      <c r="E30" t="str">
        <f t="shared" si="1"/>
        <v>✗ Unmatched</v>
      </c>
      <c r="F30" t="str">
        <f t="shared" si="2"/>
        <v>Date exists in Statement</v>
      </c>
      <c r="G30" s="45">
        <f>Bank_Statement!A26</f>
        <v>46047</v>
      </c>
      <c r="H30" t="str">
        <f>Bank_Statement!B26</f>
        <v>Consulting Fee</v>
      </c>
      <c r="I30" s="36">
        <f>Bank_Statement!C26</f>
        <v>-10087</v>
      </c>
      <c r="J30" t="str">
        <f t="shared" si="3"/>
        <v>2026-01-25|Consulting Fee|-10087</v>
      </c>
      <c r="K30" t="str">
        <f t="shared" si="4"/>
        <v>✗ Unmatched</v>
      </c>
      <c r="L30" t="str">
        <f t="shared" si="5"/>
        <v>Date exists in Books</v>
      </c>
    </row>
    <row r="31" spans="1:12" x14ac:dyDescent="0.3">
      <c r="A31" s="45">
        <f>Bank_Books!A27</f>
        <v>46048</v>
      </c>
      <c r="B31" t="str">
        <f>Bank_Books!B27</f>
        <v>Client Payment</v>
      </c>
      <c r="C31" s="36">
        <f>Bank_Books!C27</f>
        <v>1906</v>
      </c>
      <c r="D31" t="str">
        <f t="shared" si="0"/>
        <v>2026-01-26|Client Payment|1906</v>
      </c>
      <c r="E31" t="str">
        <f t="shared" si="1"/>
        <v>✗ Unmatched</v>
      </c>
      <c r="F31" t="str">
        <f t="shared" si="2"/>
        <v>Date exists in Statement</v>
      </c>
      <c r="G31" s="45">
        <f>Bank_Statement!A27</f>
        <v>46048</v>
      </c>
      <c r="H31" t="str">
        <f>Bank_Statement!B27</f>
        <v>Bank Charges</v>
      </c>
      <c r="I31" s="36">
        <f>Bank_Statement!C27</f>
        <v>5529</v>
      </c>
      <c r="J31" t="str">
        <f t="shared" si="3"/>
        <v>2026-01-26|Bank Charges|5529</v>
      </c>
      <c r="K31" t="str">
        <f t="shared" si="4"/>
        <v>✗ Unmatched</v>
      </c>
      <c r="L31" t="str">
        <f t="shared" si="5"/>
        <v>Date exists in Books</v>
      </c>
    </row>
    <row r="32" spans="1:12" x14ac:dyDescent="0.3">
      <c r="A32" s="45">
        <f>Bank_Books!A28</f>
        <v>46049</v>
      </c>
      <c r="B32" t="str">
        <f>Bank_Books!B28</f>
        <v>Office Rent</v>
      </c>
      <c r="C32" s="36">
        <f>Bank_Books!C28</f>
        <v>1327</v>
      </c>
      <c r="D32" t="str">
        <f t="shared" si="0"/>
        <v>2026-01-27|Office Rent|1327</v>
      </c>
      <c r="E32" t="str">
        <f t="shared" si="1"/>
        <v>✗ Unmatched</v>
      </c>
      <c r="F32" t="str">
        <f t="shared" si="2"/>
        <v>Date exists in Statement</v>
      </c>
      <c r="G32" s="45">
        <f>Bank_Statement!A28</f>
        <v>46049</v>
      </c>
      <c r="H32" t="str">
        <f>Bank_Statement!B28</f>
        <v>Consulting Fee</v>
      </c>
      <c r="I32" s="36">
        <f>Bank_Statement!C28</f>
        <v>-8286</v>
      </c>
      <c r="J32" t="str">
        <f t="shared" si="3"/>
        <v>2026-01-27|Consulting Fee|-8286</v>
      </c>
      <c r="K32" t="str">
        <f t="shared" si="4"/>
        <v>✗ Unmatched</v>
      </c>
      <c r="L32" t="str">
        <f t="shared" si="5"/>
        <v>Date exists in Books</v>
      </c>
    </row>
    <row r="33" spans="1:12" x14ac:dyDescent="0.3">
      <c r="A33" s="45">
        <f>Bank_Books!A29</f>
        <v>46050</v>
      </c>
      <c r="B33" t="str">
        <f>Bank_Books!B29</f>
        <v>Utility Bill</v>
      </c>
      <c r="C33" s="36">
        <f>Bank_Books!C29</f>
        <v>14420</v>
      </c>
      <c r="D33" t="str">
        <f t="shared" si="0"/>
        <v>2026-01-28|Utility Bill|14420</v>
      </c>
      <c r="E33" t="str">
        <f t="shared" si="1"/>
        <v>✗ Unmatched</v>
      </c>
      <c r="F33" t="str">
        <f t="shared" si="2"/>
        <v>Date exists in Statement</v>
      </c>
      <c r="G33" s="45">
        <f>Bank_Statement!A29</f>
        <v>46050</v>
      </c>
      <c r="H33" t="str">
        <f>Bank_Statement!B29</f>
        <v>Client Payment</v>
      </c>
      <c r="I33" s="36">
        <f>Bank_Statement!C29</f>
        <v>18993</v>
      </c>
      <c r="J33" t="str">
        <f t="shared" si="3"/>
        <v>2026-01-28|Client Payment|18993</v>
      </c>
      <c r="K33" t="str">
        <f t="shared" si="4"/>
        <v>✗ Unmatched</v>
      </c>
      <c r="L33" t="str">
        <f t="shared" si="5"/>
        <v>Date exists in Books</v>
      </c>
    </row>
    <row r="34" spans="1:12" x14ac:dyDescent="0.3">
      <c r="A34" s="45">
        <f>Bank_Books!A30</f>
        <v>46051</v>
      </c>
      <c r="B34" t="str">
        <f>Bank_Books!B30</f>
        <v>Utility Bill</v>
      </c>
      <c r="C34" s="36">
        <f>Bank_Books!C30</f>
        <v>-9725</v>
      </c>
      <c r="D34" t="str">
        <f t="shared" si="0"/>
        <v>2026-01-29|Utility Bill|-9725</v>
      </c>
      <c r="E34" t="str">
        <f t="shared" si="1"/>
        <v>✗ Unmatched</v>
      </c>
      <c r="F34" t="str">
        <f t="shared" si="2"/>
        <v>Date exists in Statement</v>
      </c>
      <c r="G34" s="45">
        <f>Bank_Statement!A30</f>
        <v>46051</v>
      </c>
      <c r="H34" t="str">
        <f>Bank_Statement!B30</f>
        <v>Office Rent</v>
      </c>
      <c r="I34" s="36">
        <f>Bank_Statement!C30</f>
        <v>-5876</v>
      </c>
      <c r="J34" t="str">
        <f t="shared" si="3"/>
        <v>2026-01-29|Office Rent|-5876</v>
      </c>
      <c r="K34" t="str">
        <f t="shared" si="4"/>
        <v>✗ Unmatched</v>
      </c>
      <c r="L34" t="str">
        <f t="shared" si="5"/>
        <v>Date exists in Books</v>
      </c>
    </row>
    <row r="35" spans="1:12" x14ac:dyDescent="0.3">
      <c r="A35" s="45">
        <f>Bank_Books!A31</f>
        <v>46052</v>
      </c>
      <c r="B35" t="str">
        <f>Bank_Books!B31</f>
        <v>Utility Bill</v>
      </c>
      <c r="C35" s="36">
        <f>Bank_Books!C31</f>
        <v>9975</v>
      </c>
      <c r="D35" t="str">
        <f t="shared" si="0"/>
        <v>2026-01-30|Utility Bill|9975</v>
      </c>
      <c r="E35" t="str">
        <f t="shared" si="1"/>
        <v>✗ Unmatched</v>
      </c>
      <c r="F35" t="str">
        <f t="shared" si="2"/>
        <v>Date exists in Statement</v>
      </c>
      <c r="G35" s="45">
        <f>Bank_Statement!A31</f>
        <v>46052</v>
      </c>
      <c r="H35" t="str">
        <f>Bank_Statement!B31</f>
        <v>Utility Bill</v>
      </c>
      <c r="I35" s="36">
        <f>Bank_Statement!C31</f>
        <v>23586</v>
      </c>
      <c r="J35" t="str">
        <f t="shared" si="3"/>
        <v>2026-01-30|Utility Bill|23586</v>
      </c>
      <c r="K35" t="str">
        <f t="shared" si="4"/>
        <v>✗ Unmatched</v>
      </c>
      <c r="L35" t="str">
        <f t="shared" si="5"/>
        <v>Date exists in Books</v>
      </c>
    </row>
    <row r="36" spans="1:12" x14ac:dyDescent="0.3">
      <c r="A36" s="45">
        <f>Bank_Books!A32</f>
        <v>46053</v>
      </c>
      <c r="B36" t="str">
        <f>Bank_Books!B32</f>
        <v>Utility Bill</v>
      </c>
      <c r="C36" s="36">
        <f>Bank_Books!C32</f>
        <v>-6840</v>
      </c>
      <c r="D36" t="str">
        <f t="shared" si="0"/>
        <v>2026-01-31|Utility Bill|-6840</v>
      </c>
      <c r="E36" t="str">
        <f t="shared" si="1"/>
        <v>✗ Unmatched</v>
      </c>
      <c r="F36" t="str">
        <f t="shared" si="2"/>
        <v>Date exists in Statement</v>
      </c>
      <c r="G36" s="45">
        <f>Bank_Statement!A32</f>
        <v>46053</v>
      </c>
      <c r="H36" t="str">
        <f>Bank_Statement!B32</f>
        <v>Utility Bill</v>
      </c>
      <c r="I36" s="36">
        <f>Bank_Statement!C32</f>
        <v>19</v>
      </c>
      <c r="J36" t="str">
        <f t="shared" si="3"/>
        <v>2026-01-31|Utility Bill|19</v>
      </c>
      <c r="K36" t="str">
        <f t="shared" si="4"/>
        <v>✗ Unmatched</v>
      </c>
      <c r="L36" t="str">
        <f t="shared" si="5"/>
        <v>Date exists in Books</v>
      </c>
    </row>
    <row r="37" spans="1:12" x14ac:dyDescent="0.3">
      <c r="A37" s="45">
        <f>Bank_Books!A33</f>
        <v>46054</v>
      </c>
      <c r="B37" t="str">
        <f>Bank_Books!B33</f>
        <v>Software Purchase</v>
      </c>
      <c r="C37" s="36">
        <f>Bank_Books!C33</f>
        <v>24797</v>
      </c>
      <c r="D37" t="str">
        <f t="shared" si="0"/>
        <v>2026-02-01|Software Purchase|24797</v>
      </c>
      <c r="E37" t="str">
        <f t="shared" si="1"/>
        <v>✗ Unmatched</v>
      </c>
      <c r="F37" t="str">
        <f t="shared" si="2"/>
        <v>Date exists in Statement</v>
      </c>
      <c r="G37" s="45">
        <f>Bank_Statement!A33</f>
        <v>46054</v>
      </c>
      <c r="H37" t="str">
        <f>Bank_Statement!B33</f>
        <v>Consulting Fee</v>
      </c>
      <c r="I37" s="36">
        <f>Bank_Statement!C33</f>
        <v>-9326</v>
      </c>
      <c r="J37" t="str">
        <f t="shared" si="3"/>
        <v>2026-02-01|Consulting Fee|-9326</v>
      </c>
      <c r="K37" t="str">
        <f t="shared" si="4"/>
        <v>✗ Unmatched</v>
      </c>
      <c r="L37" t="str">
        <f t="shared" si="5"/>
        <v>Date exists in Books</v>
      </c>
    </row>
    <row r="38" spans="1:12" x14ac:dyDescent="0.3">
      <c r="A38" s="45">
        <f>Bank_Books!A34</f>
        <v>46055</v>
      </c>
      <c r="B38" t="str">
        <f>Bank_Books!B34</f>
        <v>Consulting Fee</v>
      </c>
      <c r="C38" s="36">
        <f>Bank_Books!C34</f>
        <v>-7506</v>
      </c>
      <c r="D38" t="str">
        <f t="shared" si="0"/>
        <v>2026-02-02|Consulting Fee|-7506</v>
      </c>
      <c r="E38" t="str">
        <f t="shared" si="1"/>
        <v>✗ Unmatched</v>
      </c>
      <c r="F38" t="str">
        <f t="shared" si="2"/>
        <v>Date exists in Statement</v>
      </c>
      <c r="G38" s="45">
        <f>Bank_Statement!A34</f>
        <v>46055</v>
      </c>
      <c r="H38" t="str">
        <f>Bank_Statement!B34</f>
        <v>Office Rent</v>
      </c>
      <c r="I38" s="36">
        <f>Bank_Statement!C34</f>
        <v>11261</v>
      </c>
      <c r="J38" t="str">
        <f t="shared" si="3"/>
        <v>2026-02-02|Office Rent|11261</v>
      </c>
      <c r="K38" t="str">
        <f t="shared" si="4"/>
        <v>✗ Unmatched</v>
      </c>
      <c r="L38" t="str">
        <f t="shared" si="5"/>
        <v>Date exists in Books</v>
      </c>
    </row>
    <row r="39" spans="1:12" x14ac:dyDescent="0.3">
      <c r="A39" s="45">
        <f>Bank_Books!A35</f>
        <v>46056</v>
      </c>
      <c r="B39" t="str">
        <f>Bank_Books!B35</f>
        <v>Office Rent</v>
      </c>
      <c r="C39" s="36">
        <f>Bank_Books!C35</f>
        <v>-7827</v>
      </c>
      <c r="D39" t="str">
        <f t="shared" si="0"/>
        <v>2026-02-03|Office Rent|-7827</v>
      </c>
      <c r="E39" t="str">
        <f t="shared" si="1"/>
        <v>✗ Unmatched</v>
      </c>
      <c r="F39" t="str">
        <f t="shared" si="2"/>
        <v>Date exists in Statement</v>
      </c>
      <c r="G39" s="45">
        <f>Bank_Statement!A35</f>
        <v>46056</v>
      </c>
      <c r="H39" t="str">
        <f>Bank_Statement!B35</f>
        <v>Utility Bill</v>
      </c>
      <c r="I39" s="36">
        <f>Bank_Statement!C35</f>
        <v>12464</v>
      </c>
      <c r="J39" t="str">
        <f t="shared" si="3"/>
        <v>2026-02-03|Utility Bill|12464</v>
      </c>
      <c r="K39" t="str">
        <f t="shared" si="4"/>
        <v>✗ Unmatched</v>
      </c>
      <c r="L39" t="str">
        <f t="shared" si="5"/>
        <v>Date exists in Books</v>
      </c>
    </row>
    <row r="40" spans="1:12" x14ac:dyDescent="0.3">
      <c r="A40" s="45">
        <f>Bank_Books!A36</f>
        <v>46057</v>
      </c>
      <c r="B40" t="str">
        <f>Bank_Books!B36</f>
        <v>Utility Bill</v>
      </c>
      <c r="C40" s="36">
        <f>Bank_Books!C36</f>
        <v>9853</v>
      </c>
      <c r="D40" t="str">
        <f t="shared" si="0"/>
        <v>2026-02-04|Utility Bill|9853</v>
      </c>
      <c r="E40" t="str">
        <f t="shared" si="1"/>
        <v>✗ Unmatched</v>
      </c>
      <c r="F40" t="str">
        <f t="shared" si="2"/>
        <v>Date exists in Statement</v>
      </c>
      <c r="G40" s="45">
        <f>Bank_Statement!A36</f>
        <v>46057</v>
      </c>
      <c r="H40" t="str">
        <f>Bank_Statement!B36</f>
        <v>Consulting Fee</v>
      </c>
      <c r="I40" s="36">
        <f>Bank_Statement!C36</f>
        <v>-3688</v>
      </c>
      <c r="J40" t="str">
        <f t="shared" si="3"/>
        <v>2026-02-04|Consulting Fee|-3688</v>
      </c>
      <c r="K40" t="str">
        <f t="shared" si="4"/>
        <v>✗ Unmatched</v>
      </c>
      <c r="L40" t="str">
        <f t="shared" si="5"/>
        <v>Date exists in Books</v>
      </c>
    </row>
    <row r="41" spans="1:12" x14ac:dyDescent="0.3">
      <c r="A41" s="45">
        <f>Bank_Books!A37</f>
        <v>46058</v>
      </c>
      <c r="B41" t="str">
        <f>Bank_Books!B37</f>
        <v>Software Purchase</v>
      </c>
      <c r="C41" s="36">
        <f>Bank_Books!C37</f>
        <v>244</v>
      </c>
      <c r="D41" t="str">
        <f t="shared" si="0"/>
        <v>2026-02-05|Software Purchase|244</v>
      </c>
      <c r="E41" t="str">
        <f t="shared" si="1"/>
        <v>✗ Unmatched</v>
      </c>
      <c r="F41" t="str">
        <f t="shared" si="2"/>
        <v>Date exists in Statement</v>
      </c>
      <c r="G41" s="45">
        <f>Bank_Statement!A37</f>
        <v>46058</v>
      </c>
      <c r="H41" t="str">
        <f>Bank_Statement!B37</f>
        <v>Consulting Fee</v>
      </c>
      <c r="I41" s="36">
        <f>Bank_Statement!C37</f>
        <v>14045</v>
      </c>
      <c r="J41" t="str">
        <f t="shared" si="3"/>
        <v>2026-02-05|Consulting Fee|14045</v>
      </c>
      <c r="K41" t="str">
        <f t="shared" si="4"/>
        <v>✗ Unmatched</v>
      </c>
      <c r="L41" t="str">
        <f t="shared" si="5"/>
        <v>Date exists in Books</v>
      </c>
    </row>
    <row r="42" spans="1:12" x14ac:dyDescent="0.3">
      <c r="A42" s="45">
        <f>Bank_Books!A38</f>
        <v>46059</v>
      </c>
      <c r="B42" t="str">
        <f>Bank_Books!B38</f>
        <v>Software Purchase</v>
      </c>
      <c r="C42" s="36">
        <f>Bank_Books!C38</f>
        <v>-3276</v>
      </c>
      <c r="D42" t="str">
        <f t="shared" si="0"/>
        <v>2026-02-06|Software Purchase|-3276</v>
      </c>
      <c r="E42" t="str">
        <f t="shared" si="1"/>
        <v>✗ Unmatched</v>
      </c>
      <c r="F42" t="str">
        <f t="shared" si="2"/>
        <v>Date exists in Statement</v>
      </c>
      <c r="G42" s="45">
        <f>Bank_Statement!A38</f>
        <v>46059</v>
      </c>
      <c r="H42" t="str">
        <f>Bank_Statement!B38</f>
        <v>Utility Bill</v>
      </c>
      <c r="I42" s="36">
        <f>Bank_Statement!C38</f>
        <v>-4303</v>
      </c>
      <c r="J42" t="str">
        <f t="shared" si="3"/>
        <v>2026-02-06|Utility Bill|-4303</v>
      </c>
      <c r="K42" t="str">
        <f t="shared" si="4"/>
        <v>✗ Unmatched</v>
      </c>
      <c r="L42" t="str">
        <f t="shared" si="5"/>
        <v>Date exists in Books</v>
      </c>
    </row>
    <row r="43" spans="1:12" x14ac:dyDescent="0.3">
      <c r="A43" s="45">
        <f>Bank_Books!A39</f>
        <v>46060</v>
      </c>
      <c r="B43" t="str">
        <f>Bank_Books!B39</f>
        <v>Utility Bill</v>
      </c>
      <c r="C43" s="36">
        <f>Bank_Books!C39</f>
        <v>6966</v>
      </c>
      <c r="D43" t="str">
        <f t="shared" si="0"/>
        <v>2026-02-07|Utility Bill|6966</v>
      </c>
      <c r="E43" t="str">
        <f t="shared" si="1"/>
        <v>✗ Unmatched</v>
      </c>
      <c r="F43" t="str">
        <f t="shared" si="2"/>
        <v>Date exists in Statement</v>
      </c>
      <c r="G43" s="45">
        <f>Bank_Statement!A39</f>
        <v>46060</v>
      </c>
      <c r="H43" t="str">
        <f>Bank_Statement!B39</f>
        <v>Bank Charges</v>
      </c>
      <c r="I43" s="36">
        <f>Bank_Statement!C39</f>
        <v>-7078</v>
      </c>
      <c r="J43" t="str">
        <f t="shared" si="3"/>
        <v>2026-02-07|Bank Charges|-7078</v>
      </c>
      <c r="K43" t="str">
        <f t="shared" si="4"/>
        <v>✗ Unmatched</v>
      </c>
      <c r="L43" t="str">
        <f t="shared" si="5"/>
        <v>Date exists in Books</v>
      </c>
    </row>
    <row r="44" spans="1:12" x14ac:dyDescent="0.3">
      <c r="A44" s="45">
        <f>Bank_Books!A40</f>
        <v>46061</v>
      </c>
      <c r="B44" t="str">
        <f>Bank_Books!B40</f>
        <v>Utility Bill</v>
      </c>
      <c r="C44" s="36">
        <f>Bank_Books!C40</f>
        <v>472</v>
      </c>
      <c r="D44" t="str">
        <f t="shared" si="0"/>
        <v>2026-02-08|Utility Bill|472</v>
      </c>
      <c r="E44" t="str">
        <f t="shared" si="1"/>
        <v>✗ Unmatched</v>
      </c>
      <c r="F44" t="str">
        <f t="shared" si="2"/>
        <v>Date exists in Statement</v>
      </c>
      <c r="G44" s="45">
        <f>Bank_Statement!A40</f>
        <v>46061</v>
      </c>
      <c r="H44" t="str">
        <f>Bank_Statement!B40</f>
        <v>Utility Bill</v>
      </c>
      <c r="I44" s="36">
        <f>Bank_Statement!C40</f>
        <v>-13326</v>
      </c>
      <c r="J44" t="str">
        <f t="shared" si="3"/>
        <v>2026-02-08|Utility Bill|-13326</v>
      </c>
      <c r="K44" t="str">
        <f t="shared" si="4"/>
        <v>✗ Unmatched</v>
      </c>
      <c r="L44" t="str">
        <f t="shared" si="5"/>
        <v>Date exists in Books</v>
      </c>
    </row>
    <row r="45" spans="1:12" x14ac:dyDescent="0.3">
      <c r="A45" s="45">
        <f>Bank_Books!A41</f>
        <v>46062</v>
      </c>
      <c r="B45" t="str">
        <f>Bank_Books!B41</f>
        <v>Utility Bill</v>
      </c>
      <c r="C45" s="36">
        <f>Bank_Books!C41</f>
        <v>23021</v>
      </c>
      <c r="D45" t="str">
        <f t="shared" si="0"/>
        <v>2026-02-09|Utility Bill|23021</v>
      </c>
      <c r="E45" t="str">
        <f t="shared" si="1"/>
        <v>✗ Unmatched</v>
      </c>
      <c r="F45" t="str">
        <f t="shared" si="2"/>
        <v>Date exists in Statement</v>
      </c>
      <c r="G45" s="45">
        <f>Bank_Statement!A41</f>
        <v>46062</v>
      </c>
      <c r="H45" t="str">
        <f>Bank_Statement!B41</f>
        <v>Client Payment</v>
      </c>
      <c r="I45" s="36">
        <f>Bank_Statement!C41</f>
        <v>3328</v>
      </c>
      <c r="J45" t="str">
        <f t="shared" si="3"/>
        <v>2026-02-09|Client Payment|3328</v>
      </c>
      <c r="K45" t="str">
        <f t="shared" si="4"/>
        <v>✗ Unmatched</v>
      </c>
      <c r="L45" t="str">
        <f t="shared" si="5"/>
        <v>Date exists in Books</v>
      </c>
    </row>
    <row r="48" spans="1:12" ht="18" x14ac:dyDescent="0.35">
      <c r="A48" s="46" t="s">
        <v>534</v>
      </c>
    </row>
    <row r="50" spans="1:8" ht="15.6" x14ac:dyDescent="0.3">
      <c r="A50" s="12" t="s">
        <v>535</v>
      </c>
      <c r="B50" s="12" t="s">
        <v>536</v>
      </c>
      <c r="D50" s="49" t="s">
        <v>553</v>
      </c>
    </row>
    <row r="51" spans="1:8" x14ac:dyDescent="0.3">
      <c r="A51" t="s">
        <v>537</v>
      </c>
      <c r="B51">
        <f>COUNTA(A6:A45)</f>
        <v>40</v>
      </c>
    </row>
    <row r="52" spans="1:8" x14ac:dyDescent="0.3">
      <c r="A52" t="s">
        <v>538</v>
      </c>
      <c r="B52">
        <f>COUNTA(G6:G45)</f>
        <v>40</v>
      </c>
      <c r="D52" t="s">
        <v>554</v>
      </c>
    </row>
    <row r="53" spans="1:8" x14ac:dyDescent="0.3">
      <c r="A53" t="s">
        <v>539</v>
      </c>
      <c r="B53">
        <f>COUNTIF(E6:E45,"✓ Matched")</f>
        <v>0</v>
      </c>
      <c r="D53" t="s">
        <v>555</v>
      </c>
    </row>
    <row r="54" spans="1:8" x14ac:dyDescent="0.3">
      <c r="A54" t="s">
        <v>540</v>
      </c>
      <c r="B54">
        <f>COUNTIF(E6:E45,"✗ Unmatched")</f>
        <v>40</v>
      </c>
      <c r="D54" t="s">
        <v>556</v>
      </c>
    </row>
    <row r="55" spans="1:8" x14ac:dyDescent="0.3">
      <c r="A55" t="s">
        <v>541</v>
      </c>
      <c r="B55">
        <f>COUNTIF(K6:K45,"✓ Matched")</f>
        <v>0</v>
      </c>
      <c r="D55" t="s">
        <v>557</v>
      </c>
    </row>
    <row r="56" spans="1:8" x14ac:dyDescent="0.3">
      <c r="A56" t="s">
        <v>542</v>
      </c>
      <c r="B56">
        <f>COUNTIF(K6:K45,"✗ Unmatched")</f>
        <v>40</v>
      </c>
      <c r="D56" t="s">
        <v>558</v>
      </c>
    </row>
    <row r="57" spans="1:8" x14ac:dyDescent="0.3">
      <c r="A57" t="s">
        <v>543</v>
      </c>
      <c r="B57" s="36">
        <f>SUM(C6:C45)</f>
        <v>184616</v>
      </c>
      <c r="D57" t="s">
        <v>559</v>
      </c>
    </row>
    <row r="58" spans="1:8" x14ac:dyDescent="0.3">
      <c r="A58" t="s">
        <v>544</v>
      </c>
      <c r="B58" s="36">
        <f>SUM(I6:I45)</f>
        <v>209914</v>
      </c>
    </row>
    <row r="59" spans="1:8" x14ac:dyDescent="0.3">
      <c r="A59" s="8" t="s">
        <v>552</v>
      </c>
      <c r="B59" s="48">
        <f>B57-B58</f>
        <v>-25298</v>
      </c>
    </row>
    <row r="60" spans="1:8" ht="18" x14ac:dyDescent="0.35">
      <c r="A60" s="47" t="s">
        <v>545</v>
      </c>
    </row>
    <row r="62" spans="1:8" x14ac:dyDescent="0.3">
      <c r="A62" s="42" t="s">
        <v>546</v>
      </c>
      <c r="B62" s="42"/>
      <c r="C62" s="42"/>
      <c r="D62" s="42"/>
      <c r="E62" s="42"/>
      <c r="F62" s="42"/>
      <c r="G62" s="42"/>
      <c r="H62" s="42"/>
    </row>
    <row r="63" spans="1:8" x14ac:dyDescent="0.3">
      <c r="A63" t="s">
        <v>547</v>
      </c>
    </row>
    <row r="64" spans="1:8" x14ac:dyDescent="0.3">
      <c r="A64" t="s">
        <v>548</v>
      </c>
    </row>
    <row r="65" spans="1:4" x14ac:dyDescent="0.3">
      <c r="A65" t="s">
        <v>549</v>
      </c>
    </row>
    <row r="66" spans="1:4" x14ac:dyDescent="0.3">
      <c r="A66" t="s">
        <v>550</v>
      </c>
    </row>
    <row r="69" spans="1:4" ht="15.6" x14ac:dyDescent="0.3">
      <c r="A69" s="49" t="s">
        <v>563</v>
      </c>
    </row>
    <row r="71" spans="1:4" x14ac:dyDescent="0.3">
      <c r="A71" s="12" t="s">
        <v>88</v>
      </c>
      <c r="B71" s="12" t="s">
        <v>560</v>
      </c>
      <c r="C71" s="12" t="s">
        <v>561</v>
      </c>
      <c r="D71" s="12" t="s">
        <v>562</v>
      </c>
    </row>
    <row r="72" spans="1:4" x14ac:dyDescent="0.3">
      <c r="A72" s="45">
        <f t="shared" ref="A72:A111" si="6">A6</f>
        <v>46023</v>
      </c>
      <c r="B72" s="36">
        <f t="shared" ref="B72:B111" si="7">C6</f>
        <v>21673</v>
      </c>
      <c r="C72" s="36">
        <f t="shared" ref="C72:C111" si="8">SUMIF($G$6:$G$45,A72,$I$6:$I$45)</f>
        <v>10997</v>
      </c>
      <c r="D72" s="36">
        <f t="shared" ref="D72:D111" si="9">B72-C72</f>
        <v>10676</v>
      </c>
    </row>
    <row r="73" spans="1:4" x14ac:dyDescent="0.3">
      <c r="A73" s="45">
        <f t="shared" si="6"/>
        <v>46024</v>
      </c>
      <c r="B73" s="36">
        <f t="shared" si="7"/>
        <v>-13047</v>
      </c>
      <c r="C73" s="36">
        <f t="shared" si="8"/>
        <v>19376</v>
      </c>
      <c r="D73" s="36">
        <f t="shared" si="9"/>
        <v>-32423</v>
      </c>
    </row>
    <row r="74" spans="1:4" x14ac:dyDescent="0.3">
      <c r="A74" s="45">
        <f t="shared" si="6"/>
        <v>46025</v>
      </c>
      <c r="B74" s="36">
        <f t="shared" si="7"/>
        <v>19375</v>
      </c>
      <c r="C74" s="36">
        <f t="shared" si="8"/>
        <v>18559</v>
      </c>
      <c r="D74" s="36">
        <f t="shared" si="9"/>
        <v>816</v>
      </c>
    </row>
    <row r="75" spans="1:4" x14ac:dyDescent="0.3">
      <c r="A75" s="45">
        <f t="shared" si="6"/>
        <v>46026</v>
      </c>
      <c r="B75" s="36">
        <f t="shared" si="7"/>
        <v>12429</v>
      </c>
      <c r="C75" s="36">
        <f t="shared" si="8"/>
        <v>-7646</v>
      </c>
      <c r="D75" s="36">
        <f t="shared" si="9"/>
        <v>20075</v>
      </c>
    </row>
    <row r="76" spans="1:4" x14ac:dyDescent="0.3">
      <c r="A76" s="45">
        <f t="shared" si="6"/>
        <v>46027</v>
      </c>
      <c r="B76" s="36">
        <f t="shared" si="7"/>
        <v>9070</v>
      </c>
      <c r="C76" s="36">
        <f t="shared" si="8"/>
        <v>2360</v>
      </c>
      <c r="D76" s="36">
        <f t="shared" si="9"/>
        <v>6710</v>
      </c>
    </row>
    <row r="77" spans="1:4" x14ac:dyDescent="0.3">
      <c r="A77" s="45">
        <f t="shared" si="6"/>
        <v>46028</v>
      </c>
      <c r="B77" s="36">
        <f t="shared" si="7"/>
        <v>15876</v>
      </c>
      <c r="C77" s="36">
        <f t="shared" si="8"/>
        <v>17153</v>
      </c>
      <c r="D77" s="36">
        <f t="shared" si="9"/>
        <v>-1277</v>
      </c>
    </row>
    <row r="78" spans="1:4" x14ac:dyDescent="0.3">
      <c r="A78" s="45">
        <f t="shared" si="6"/>
        <v>46029</v>
      </c>
      <c r="B78" s="36">
        <f t="shared" si="7"/>
        <v>-7221</v>
      </c>
      <c r="C78" s="36">
        <f t="shared" si="8"/>
        <v>-4586</v>
      </c>
      <c r="D78" s="36">
        <f t="shared" si="9"/>
        <v>-2635</v>
      </c>
    </row>
    <row r="79" spans="1:4" x14ac:dyDescent="0.3">
      <c r="A79" s="45">
        <f t="shared" si="6"/>
        <v>46030</v>
      </c>
      <c r="B79" s="36">
        <f t="shared" si="7"/>
        <v>-2163</v>
      </c>
      <c r="C79" s="36">
        <f t="shared" si="8"/>
        <v>-3633</v>
      </c>
      <c r="D79" s="36">
        <f t="shared" si="9"/>
        <v>1470</v>
      </c>
    </row>
    <row r="80" spans="1:4" x14ac:dyDescent="0.3">
      <c r="A80" s="45">
        <f t="shared" si="6"/>
        <v>46031</v>
      </c>
      <c r="B80" s="36">
        <f t="shared" si="7"/>
        <v>-9499</v>
      </c>
      <c r="C80" s="36">
        <f t="shared" si="8"/>
        <v>12001</v>
      </c>
      <c r="D80" s="36">
        <f t="shared" si="9"/>
        <v>-21500</v>
      </c>
    </row>
    <row r="81" spans="1:4" x14ac:dyDescent="0.3">
      <c r="A81" s="45">
        <f t="shared" si="6"/>
        <v>46032</v>
      </c>
      <c r="B81" s="36">
        <f t="shared" si="7"/>
        <v>-14246</v>
      </c>
      <c r="C81" s="36">
        <f t="shared" si="8"/>
        <v>-8247</v>
      </c>
      <c r="D81" s="36">
        <f t="shared" si="9"/>
        <v>-5999</v>
      </c>
    </row>
    <row r="82" spans="1:4" x14ac:dyDescent="0.3">
      <c r="A82" s="45">
        <f t="shared" si="6"/>
        <v>46033</v>
      </c>
      <c r="B82" s="36">
        <f t="shared" si="7"/>
        <v>8049</v>
      </c>
      <c r="C82" s="36">
        <f t="shared" si="8"/>
        <v>-11811</v>
      </c>
      <c r="D82" s="36">
        <f t="shared" si="9"/>
        <v>19860</v>
      </c>
    </row>
    <row r="83" spans="1:4" x14ac:dyDescent="0.3">
      <c r="A83" s="45">
        <f t="shared" si="6"/>
        <v>46034</v>
      </c>
      <c r="B83" s="36">
        <f t="shared" si="7"/>
        <v>12737</v>
      </c>
      <c r="C83" s="36">
        <f t="shared" si="8"/>
        <v>18674</v>
      </c>
      <c r="D83" s="36">
        <f t="shared" si="9"/>
        <v>-5937</v>
      </c>
    </row>
    <row r="84" spans="1:4" x14ac:dyDescent="0.3">
      <c r="A84" s="45">
        <f t="shared" si="6"/>
        <v>46035</v>
      </c>
      <c r="B84" s="36">
        <f t="shared" si="7"/>
        <v>-11846</v>
      </c>
      <c r="C84" s="36">
        <f t="shared" si="8"/>
        <v>-10525</v>
      </c>
      <c r="D84" s="36">
        <f t="shared" si="9"/>
        <v>-1321</v>
      </c>
    </row>
    <row r="85" spans="1:4" x14ac:dyDescent="0.3">
      <c r="A85" s="45">
        <f t="shared" si="6"/>
        <v>46036</v>
      </c>
      <c r="B85" s="36">
        <f t="shared" si="7"/>
        <v>14921</v>
      </c>
      <c r="C85" s="36">
        <f t="shared" si="8"/>
        <v>10523</v>
      </c>
      <c r="D85" s="36">
        <f t="shared" si="9"/>
        <v>4398</v>
      </c>
    </row>
    <row r="86" spans="1:4" x14ac:dyDescent="0.3">
      <c r="A86" s="45">
        <f t="shared" si="6"/>
        <v>46037</v>
      </c>
      <c r="B86" s="36">
        <f t="shared" si="7"/>
        <v>-5231</v>
      </c>
      <c r="C86" s="36">
        <f t="shared" si="8"/>
        <v>20984</v>
      </c>
      <c r="D86" s="36">
        <f t="shared" si="9"/>
        <v>-26215</v>
      </c>
    </row>
    <row r="87" spans="1:4" x14ac:dyDescent="0.3">
      <c r="A87" s="45">
        <f t="shared" si="6"/>
        <v>46038</v>
      </c>
      <c r="B87" s="36">
        <f t="shared" si="7"/>
        <v>24311</v>
      </c>
      <c r="C87" s="36">
        <f t="shared" si="8"/>
        <v>21968</v>
      </c>
      <c r="D87" s="36">
        <f t="shared" si="9"/>
        <v>2343</v>
      </c>
    </row>
    <row r="88" spans="1:4" x14ac:dyDescent="0.3">
      <c r="A88" s="45">
        <f t="shared" si="6"/>
        <v>46039</v>
      </c>
      <c r="B88" s="36">
        <f t="shared" si="7"/>
        <v>9396</v>
      </c>
      <c r="C88" s="36">
        <f t="shared" si="8"/>
        <v>22634</v>
      </c>
      <c r="D88" s="36">
        <f t="shared" si="9"/>
        <v>-13238</v>
      </c>
    </row>
    <row r="89" spans="1:4" x14ac:dyDescent="0.3">
      <c r="A89" s="45">
        <f t="shared" si="6"/>
        <v>46040</v>
      </c>
      <c r="B89" s="36">
        <f t="shared" si="7"/>
        <v>3161</v>
      </c>
      <c r="C89" s="36">
        <f t="shared" si="8"/>
        <v>22694</v>
      </c>
      <c r="D89" s="36">
        <f t="shared" si="9"/>
        <v>-19533</v>
      </c>
    </row>
    <row r="90" spans="1:4" x14ac:dyDescent="0.3">
      <c r="A90" s="45">
        <f t="shared" si="6"/>
        <v>46041</v>
      </c>
      <c r="B90" s="36">
        <f t="shared" si="7"/>
        <v>14487</v>
      </c>
      <c r="C90" s="36">
        <f t="shared" si="8"/>
        <v>-6344</v>
      </c>
      <c r="D90" s="36">
        <f t="shared" si="9"/>
        <v>20831</v>
      </c>
    </row>
    <row r="91" spans="1:4" x14ac:dyDescent="0.3">
      <c r="A91" s="45">
        <f t="shared" si="6"/>
        <v>46042</v>
      </c>
      <c r="B91" s="36">
        <f t="shared" si="7"/>
        <v>10506</v>
      </c>
      <c r="C91" s="36">
        <f t="shared" si="8"/>
        <v>15762</v>
      </c>
      <c r="D91" s="36">
        <f t="shared" si="9"/>
        <v>-5256</v>
      </c>
    </row>
    <row r="92" spans="1:4" x14ac:dyDescent="0.3">
      <c r="A92" s="45">
        <f t="shared" si="6"/>
        <v>46043</v>
      </c>
      <c r="B92" s="36">
        <f t="shared" si="7"/>
        <v>10450</v>
      </c>
      <c r="C92" s="36">
        <f t="shared" si="8"/>
        <v>-5112</v>
      </c>
      <c r="D92" s="36">
        <f t="shared" si="9"/>
        <v>15562</v>
      </c>
    </row>
    <row r="93" spans="1:4" x14ac:dyDescent="0.3">
      <c r="A93" s="45">
        <f t="shared" si="6"/>
        <v>46044</v>
      </c>
      <c r="B93" s="36">
        <f t="shared" si="7"/>
        <v>4979</v>
      </c>
      <c r="C93" s="36">
        <f t="shared" si="8"/>
        <v>23560</v>
      </c>
      <c r="D93" s="36">
        <f t="shared" si="9"/>
        <v>-18581</v>
      </c>
    </row>
    <row r="94" spans="1:4" x14ac:dyDescent="0.3">
      <c r="A94" s="45">
        <f t="shared" si="6"/>
        <v>46045</v>
      </c>
      <c r="B94" s="36">
        <f t="shared" si="7"/>
        <v>6912</v>
      </c>
      <c r="C94" s="36">
        <f t="shared" si="8"/>
        <v>-1989</v>
      </c>
      <c r="D94" s="36">
        <f t="shared" si="9"/>
        <v>8901</v>
      </c>
    </row>
    <row r="95" spans="1:4" x14ac:dyDescent="0.3">
      <c r="A95" s="45">
        <f t="shared" si="6"/>
        <v>46046</v>
      </c>
      <c r="B95" s="36">
        <f t="shared" si="7"/>
        <v>-9385</v>
      </c>
      <c r="C95" s="36">
        <f t="shared" si="8"/>
        <v>5307</v>
      </c>
      <c r="D95" s="36">
        <f t="shared" si="9"/>
        <v>-14692</v>
      </c>
    </row>
    <row r="96" spans="1:4" x14ac:dyDescent="0.3">
      <c r="A96" s="45">
        <f t="shared" si="6"/>
        <v>46047</v>
      </c>
      <c r="B96" s="36">
        <f t="shared" si="7"/>
        <v>1115</v>
      </c>
      <c r="C96" s="36">
        <f t="shared" si="8"/>
        <v>-10087</v>
      </c>
      <c r="D96" s="36">
        <f t="shared" si="9"/>
        <v>11202</v>
      </c>
    </row>
    <row r="97" spans="1:4" x14ac:dyDescent="0.3">
      <c r="A97" s="45">
        <f t="shared" si="6"/>
        <v>46048</v>
      </c>
      <c r="B97" s="36">
        <f t="shared" si="7"/>
        <v>1906</v>
      </c>
      <c r="C97" s="36">
        <f t="shared" si="8"/>
        <v>5529</v>
      </c>
      <c r="D97" s="36">
        <f t="shared" si="9"/>
        <v>-3623</v>
      </c>
    </row>
    <row r="98" spans="1:4" x14ac:dyDescent="0.3">
      <c r="A98" s="45">
        <f t="shared" si="6"/>
        <v>46049</v>
      </c>
      <c r="B98" s="36">
        <f t="shared" si="7"/>
        <v>1327</v>
      </c>
      <c r="C98" s="36">
        <f t="shared" si="8"/>
        <v>-8286</v>
      </c>
      <c r="D98" s="36">
        <f t="shared" si="9"/>
        <v>9613</v>
      </c>
    </row>
    <row r="99" spans="1:4" x14ac:dyDescent="0.3">
      <c r="A99" s="45">
        <f t="shared" si="6"/>
        <v>46050</v>
      </c>
      <c r="B99" s="36">
        <f t="shared" si="7"/>
        <v>14420</v>
      </c>
      <c r="C99" s="36">
        <f t="shared" si="8"/>
        <v>18993</v>
      </c>
      <c r="D99" s="36">
        <f t="shared" si="9"/>
        <v>-4573</v>
      </c>
    </row>
    <row r="100" spans="1:4" x14ac:dyDescent="0.3">
      <c r="A100" s="45">
        <f t="shared" si="6"/>
        <v>46051</v>
      </c>
      <c r="B100" s="36">
        <f t="shared" si="7"/>
        <v>-9725</v>
      </c>
      <c r="C100" s="36">
        <f t="shared" si="8"/>
        <v>-5876</v>
      </c>
      <c r="D100" s="36">
        <f t="shared" si="9"/>
        <v>-3849</v>
      </c>
    </row>
    <row r="101" spans="1:4" x14ac:dyDescent="0.3">
      <c r="A101" s="45">
        <f t="shared" si="6"/>
        <v>46052</v>
      </c>
      <c r="B101" s="36">
        <f t="shared" si="7"/>
        <v>9975</v>
      </c>
      <c r="C101" s="36">
        <f t="shared" si="8"/>
        <v>23586</v>
      </c>
      <c r="D101" s="36">
        <f t="shared" si="9"/>
        <v>-13611</v>
      </c>
    </row>
    <row r="102" spans="1:4" x14ac:dyDescent="0.3">
      <c r="A102" s="45">
        <f t="shared" si="6"/>
        <v>46053</v>
      </c>
      <c r="B102" s="36">
        <f t="shared" si="7"/>
        <v>-6840</v>
      </c>
      <c r="C102" s="36">
        <f t="shared" si="8"/>
        <v>19</v>
      </c>
      <c r="D102" s="36">
        <f t="shared" si="9"/>
        <v>-6859</v>
      </c>
    </row>
    <row r="103" spans="1:4" x14ac:dyDescent="0.3">
      <c r="A103" s="45">
        <f t="shared" si="6"/>
        <v>46054</v>
      </c>
      <c r="B103" s="36">
        <f t="shared" si="7"/>
        <v>24797</v>
      </c>
      <c r="C103" s="36">
        <f t="shared" si="8"/>
        <v>-9326</v>
      </c>
      <c r="D103" s="36">
        <f t="shared" si="9"/>
        <v>34123</v>
      </c>
    </row>
    <row r="104" spans="1:4" x14ac:dyDescent="0.3">
      <c r="A104" s="45">
        <f t="shared" si="6"/>
        <v>46055</v>
      </c>
      <c r="B104" s="36">
        <f t="shared" si="7"/>
        <v>-7506</v>
      </c>
      <c r="C104" s="36">
        <f t="shared" si="8"/>
        <v>11261</v>
      </c>
      <c r="D104" s="36">
        <f t="shared" si="9"/>
        <v>-18767</v>
      </c>
    </row>
    <row r="105" spans="1:4" x14ac:dyDescent="0.3">
      <c r="A105" s="45">
        <f t="shared" si="6"/>
        <v>46056</v>
      </c>
      <c r="B105" s="36">
        <f t="shared" si="7"/>
        <v>-7827</v>
      </c>
      <c r="C105" s="36">
        <f t="shared" si="8"/>
        <v>12464</v>
      </c>
      <c r="D105" s="36">
        <f t="shared" si="9"/>
        <v>-20291</v>
      </c>
    </row>
    <row r="106" spans="1:4" x14ac:dyDescent="0.3">
      <c r="A106" s="45">
        <f t="shared" si="6"/>
        <v>46057</v>
      </c>
      <c r="B106" s="36">
        <f t="shared" si="7"/>
        <v>9853</v>
      </c>
      <c r="C106" s="36">
        <f t="shared" si="8"/>
        <v>-3688</v>
      </c>
      <c r="D106" s="36">
        <f t="shared" si="9"/>
        <v>13541</v>
      </c>
    </row>
    <row r="107" spans="1:4" x14ac:dyDescent="0.3">
      <c r="A107" s="45">
        <f t="shared" si="6"/>
        <v>46058</v>
      </c>
      <c r="B107" s="36">
        <f t="shared" si="7"/>
        <v>244</v>
      </c>
      <c r="C107" s="36">
        <f t="shared" si="8"/>
        <v>14045</v>
      </c>
      <c r="D107" s="36">
        <f t="shared" si="9"/>
        <v>-13801</v>
      </c>
    </row>
    <row r="108" spans="1:4" x14ac:dyDescent="0.3">
      <c r="A108" s="45">
        <f t="shared" si="6"/>
        <v>46059</v>
      </c>
      <c r="B108" s="36">
        <f t="shared" si="7"/>
        <v>-3276</v>
      </c>
      <c r="C108" s="36">
        <f t="shared" si="8"/>
        <v>-4303</v>
      </c>
      <c r="D108" s="36">
        <f t="shared" si="9"/>
        <v>1027</v>
      </c>
    </row>
    <row r="109" spans="1:4" x14ac:dyDescent="0.3">
      <c r="A109" s="45">
        <f t="shared" si="6"/>
        <v>46060</v>
      </c>
      <c r="B109" s="36">
        <f t="shared" si="7"/>
        <v>6966</v>
      </c>
      <c r="C109" s="36">
        <f t="shared" si="8"/>
        <v>-7078</v>
      </c>
      <c r="D109" s="36">
        <f t="shared" si="9"/>
        <v>14044</v>
      </c>
    </row>
    <row r="110" spans="1:4" x14ac:dyDescent="0.3">
      <c r="A110" s="45">
        <f t="shared" si="6"/>
        <v>46061</v>
      </c>
      <c r="B110" s="36">
        <f t="shared" si="7"/>
        <v>472</v>
      </c>
      <c r="C110" s="36">
        <f t="shared" si="8"/>
        <v>-13326</v>
      </c>
      <c r="D110" s="36">
        <f t="shared" si="9"/>
        <v>13798</v>
      </c>
    </row>
    <row r="111" spans="1:4" x14ac:dyDescent="0.3">
      <c r="A111" s="45">
        <f t="shared" si="6"/>
        <v>46062</v>
      </c>
      <c r="B111" s="36">
        <f t="shared" si="7"/>
        <v>23021</v>
      </c>
      <c r="C111" s="36">
        <f t="shared" si="8"/>
        <v>3328</v>
      </c>
      <c r="D111" s="36">
        <f t="shared" si="9"/>
        <v>19693</v>
      </c>
    </row>
  </sheetData>
  <mergeCells count="1">
    <mergeCell ref="A1:C1"/>
  </mergeCells>
  <conditionalFormatting sqref="A6:E45">
    <cfRule type="expression" dxfId="35" priority="5">
      <formula>ISNUMBER(SEARCH("Unmatched",$E6))</formula>
    </cfRule>
  </conditionalFormatting>
  <conditionalFormatting sqref="B59">
    <cfRule type="expression" dxfId="34" priority="10">
      <formula>B59&lt;&gt;0</formula>
    </cfRule>
  </conditionalFormatting>
  <conditionalFormatting sqref="D72:D111">
    <cfRule type="cellIs" dxfId="33" priority="7" operator="between"/>
    <cfRule type="expression" dxfId="32" priority="8">
      <formula>D72&lt;&gt;0</formula>
    </cfRule>
    <cfRule type="expression" dxfId="31" priority="9">
      <formula>D72=0</formula>
    </cfRule>
  </conditionalFormatting>
  <conditionalFormatting sqref="E6:E45">
    <cfRule type="containsText" dxfId="30" priority="1" operator="containsText" text="Unmatched">
      <formula>NOT(ISERROR(SEARCH("Unmatched",E6)))</formula>
    </cfRule>
    <cfRule type="containsText" dxfId="29" priority="2" operator="containsText" text="Matched">
      <formula>NOT(ISERROR(SEARCH("Matched",E6)))</formula>
    </cfRule>
  </conditionalFormatting>
  <conditionalFormatting sqref="G6:K45">
    <cfRule type="expression" dxfId="28" priority="6">
      <formula>ISNUMBER(SEARCH("Unmatched",$K6))</formula>
    </cfRule>
  </conditionalFormatting>
  <conditionalFormatting sqref="K6:K45">
    <cfRule type="containsText" dxfId="27" priority="3" operator="containsText" text="Unmatched">
      <formula>NOT(ISERROR(SEARCH("Unmatched",K6)))</formula>
    </cfRule>
    <cfRule type="containsText" dxfId="26" priority="4" operator="containsText" text="Matched">
      <formula>NOT(ISERROR(SEARCH("Matched",K6)))</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37BF8-835F-4614-9A4B-D754A98AF93A}">
  <sheetPr>
    <tabColor theme="4" tint="0.79998168889431442"/>
  </sheetPr>
  <dimension ref="A1:K57"/>
  <sheetViews>
    <sheetView workbookViewId="0">
      <selection sqref="A1:D1"/>
    </sheetView>
  </sheetViews>
  <sheetFormatPr defaultRowHeight="14.4" x14ac:dyDescent="0.3"/>
  <cols>
    <col min="1" max="1" width="34.21875" customWidth="1"/>
    <col min="2" max="2" width="16.33203125" bestFit="1" customWidth="1"/>
    <col min="3" max="3" width="7.88671875" bestFit="1" customWidth="1"/>
    <col min="4" max="4" width="32.88671875" bestFit="1" customWidth="1"/>
    <col min="5" max="5" width="9.109375" bestFit="1" customWidth="1"/>
    <col min="7" max="7" width="10.33203125" customWidth="1"/>
    <col min="8" max="8" width="13.33203125" bestFit="1" customWidth="1"/>
    <col min="9" max="9" width="7.88671875" bestFit="1" customWidth="1"/>
    <col min="10" max="10" width="30.109375" bestFit="1" customWidth="1"/>
    <col min="11" max="11" width="9.109375" bestFit="1" customWidth="1"/>
  </cols>
  <sheetData>
    <row r="1" spans="1:11" ht="21" x14ac:dyDescent="0.4">
      <c r="A1" s="156" t="s">
        <v>564</v>
      </c>
      <c r="B1" s="156"/>
      <c r="C1" s="156"/>
      <c r="D1" s="156"/>
    </row>
    <row r="2" spans="1:11" x14ac:dyDescent="0.3">
      <c r="A2" s="157" t="s">
        <v>565</v>
      </c>
      <c r="B2" s="157"/>
      <c r="C2" s="157"/>
      <c r="D2" s="157"/>
    </row>
    <row r="4" spans="1:11" ht="15.6" x14ac:dyDescent="0.3">
      <c r="A4" s="50" t="s">
        <v>566</v>
      </c>
      <c r="B4" s="51"/>
      <c r="C4" s="51"/>
      <c r="D4" s="51"/>
      <c r="E4" s="51"/>
      <c r="G4" s="53" t="s">
        <v>567</v>
      </c>
      <c r="H4" s="54"/>
      <c r="I4" s="54"/>
      <c r="J4" s="54"/>
      <c r="K4" s="54"/>
    </row>
    <row r="5" spans="1:11" x14ac:dyDescent="0.3">
      <c r="A5" s="52" t="s">
        <v>88</v>
      </c>
      <c r="B5" s="52" t="s">
        <v>132</v>
      </c>
      <c r="C5" s="52" t="s">
        <v>133</v>
      </c>
      <c r="D5" s="52" t="s">
        <v>531</v>
      </c>
      <c r="E5" s="52" t="s">
        <v>238</v>
      </c>
      <c r="G5" s="55" t="s">
        <v>88</v>
      </c>
      <c r="H5" s="55" t="s">
        <v>132</v>
      </c>
      <c r="I5" s="55" t="s">
        <v>133</v>
      </c>
      <c r="J5" s="55" t="s">
        <v>531</v>
      </c>
      <c r="K5" s="55" t="s">
        <v>238</v>
      </c>
    </row>
    <row r="6" spans="1:11" x14ac:dyDescent="0.3">
      <c r="A6">
        <v>46023</v>
      </c>
      <c r="B6" t="s">
        <v>134</v>
      </c>
      <c r="C6" s="36">
        <v>21673</v>
      </c>
      <c r="D6" t="str">
        <f t="shared" ref="D6:D45" si="0">TEXT(A6,"YYYY-MM-DD")&amp;"|"&amp;B6&amp;"|"&amp;C6</f>
        <v>2026-01-01|Consulting Fee|21673</v>
      </c>
      <c r="E6" t="str">
        <f>IF(COUNTIFS(Bank_Statement!A:A,A6,Bank_Statement!B:B,B6,Bank_Statement!C:C,C6)&gt;0,"✓ Found","✗ Missing")</f>
        <v>✗ Missing</v>
      </c>
      <c r="G6">
        <v>46023</v>
      </c>
      <c r="H6" t="s">
        <v>138</v>
      </c>
      <c r="I6" s="36">
        <v>10997</v>
      </c>
      <c r="J6" t="str">
        <f t="shared" ref="J6:J45" si="1">TEXT(G6,"YYYY-MM-DD")&amp;"|"&amp;H6&amp;"|"&amp;I6</f>
        <v>2026-01-01|Client Payment|10997</v>
      </c>
      <c r="K6" t="str">
        <f>IF(COUNTIFS(Bank_Books!A:A,G6,Bank_Books!B:B,H6,Bank_Books!C:C,I6)&gt;0,"✓ Found","✗ Missing")</f>
        <v>✗ Missing</v>
      </c>
    </row>
    <row r="7" spans="1:11" x14ac:dyDescent="0.3">
      <c r="A7">
        <v>46024</v>
      </c>
      <c r="B7" t="s">
        <v>134</v>
      </c>
      <c r="C7" s="36">
        <v>-13047</v>
      </c>
      <c r="D7" t="str">
        <f t="shared" si="0"/>
        <v>2026-01-02|Consulting Fee|-13047</v>
      </c>
      <c r="E7" t="str">
        <f>IF(COUNTIFS(Bank_Statement!A:A,A7,Bank_Statement!B:B,B7,Bank_Statement!C:C,C7)&gt;0,"✓ Found","✗ Missing")</f>
        <v>✗ Missing</v>
      </c>
      <c r="G7">
        <v>46024</v>
      </c>
      <c r="H7" t="s">
        <v>136</v>
      </c>
      <c r="I7" s="36">
        <v>19376</v>
      </c>
      <c r="J7" t="str">
        <f t="shared" si="1"/>
        <v>2026-01-02|Office Rent|19376</v>
      </c>
      <c r="K7" t="str">
        <f>IF(COUNTIFS(Bank_Books!A:A,G7,Bank_Books!B:B,H7,Bank_Books!C:C,I7)&gt;0,"✓ Found","✗ Missing")</f>
        <v>✗ Missing</v>
      </c>
    </row>
    <row r="8" spans="1:11" x14ac:dyDescent="0.3">
      <c r="A8">
        <v>46025</v>
      </c>
      <c r="B8" t="s">
        <v>134</v>
      </c>
      <c r="C8" s="36">
        <v>19375</v>
      </c>
      <c r="D8" t="str">
        <f t="shared" si="0"/>
        <v>2026-01-03|Consulting Fee|19375</v>
      </c>
      <c r="E8" t="str">
        <f>IF(COUNTIFS(Bank_Statement!A:A,A8,Bank_Statement!B:B,B8,Bank_Statement!C:C,C8)&gt;0,"✓ Found","✗ Missing")</f>
        <v>✗ Missing</v>
      </c>
      <c r="G8">
        <v>46025</v>
      </c>
      <c r="H8" t="s">
        <v>136</v>
      </c>
      <c r="I8" s="36">
        <v>18559</v>
      </c>
      <c r="J8" t="str">
        <f t="shared" si="1"/>
        <v>2026-01-03|Office Rent|18559</v>
      </c>
      <c r="K8" t="str">
        <f>IF(COUNTIFS(Bank_Books!A:A,G8,Bank_Books!B:B,H8,Bank_Books!C:C,I8)&gt;0,"✓ Found","✗ Missing")</f>
        <v>✗ Missing</v>
      </c>
    </row>
    <row r="9" spans="1:11" x14ac:dyDescent="0.3">
      <c r="A9">
        <v>46026</v>
      </c>
      <c r="B9" t="s">
        <v>135</v>
      </c>
      <c r="C9" s="36">
        <v>12429</v>
      </c>
      <c r="D9" t="str">
        <f t="shared" si="0"/>
        <v>2026-01-04|Utility Bill|12429</v>
      </c>
      <c r="E9" t="str">
        <f>IF(COUNTIFS(Bank_Statement!A:A,A9,Bank_Statement!B:B,B9,Bank_Statement!C:C,C9)&gt;0,"✓ Found","✗ Missing")</f>
        <v>✗ Missing</v>
      </c>
      <c r="G9">
        <v>46026</v>
      </c>
      <c r="H9" t="s">
        <v>138</v>
      </c>
      <c r="I9" s="36">
        <v>-7646</v>
      </c>
      <c r="J9" t="str">
        <f t="shared" si="1"/>
        <v>2026-01-04|Client Payment|-7646</v>
      </c>
      <c r="K9" t="str">
        <f>IF(COUNTIFS(Bank_Books!A:A,G9,Bank_Books!B:B,H9,Bank_Books!C:C,I9)&gt;0,"✓ Found","✗ Missing")</f>
        <v>✗ Missing</v>
      </c>
    </row>
    <row r="10" spans="1:11" x14ac:dyDescent="0.3">
      <c r="A10">
        <v>46027</v>
      </c>
      <c r="B10" t="s">
        <v>136</v>
      </c>
      <c r="C10" s="36">
        <v>9070</v>
      </c>
      <c r="D10" t="str">
        <f t="shared" si="0"/>
        <v>2026-01-05|Office Rent|9070</v>
      </c>
      <c r="E10" t="str">
        <f>IF(COUNTIFS(Bank_Statement!A:A,A10,Bank_Statement!B:B,B10,Bank_Statement!C:C,C10)&gt;0,"✓ Found","✗ Missing")</f>
        <v>✗ Missing</v>
      </c>
      <c r="G10">
        <v>46027</v>
      </c>
      <c r="H10" t="s">
        <v>136</v>
      </c>
      <c r="I10" s="36">
        <v>2360</v>
      </c>
      <c r="J10" t="str">
        <f t="shared" si="1"/>
        <v>2026-01-05|Office Rent|2360</v>
      </c>
      <c r="K10" t="str">
        <f>IF(COUNTIFS(Bank_Books!A:A,G10,Bank_Books!B:B,H10,Bank_Books!C:C,I10)&gt;0,"✓ Found","✗ Missing")</f>
        <v>✗ Missing</v>
      </c>
    </row>
    <row r="11" spans="1:11" x14ac:dyDescent="0.3">
      <c r="A11">
        <v>46028</v>
      </c>
      <c r="B11" t="s">
        <v>137</v>
      </c>
      <c r="C11" s="36">
        <v>15876</v>
      </c>
      <c r="D11" t="str">
        <f t="shared" si="0"/>
        <v>2026-01-06|Software Purchase|15876</v>
      </c>
      <c r="E11" t="str">
        <f>IF(COUNTIFS(Bank_Statement!A:A,A11,Bank_Statement!B:B,B11,Bank_Statement!C:C,C11)&gt;0,"✓ Found","✗ Missing")</f>
        <v>✗ Missing</v>
      </c>
      <c r="G11">
        <v>46028</v>
      </c>
      <c r="H11" t="s">
        <v>138</v>
      </c>
      <c r="I11" s="36">
        <v>17153</v>
      </c>
      <c r="J11" t="str">
        <f t="shared" si="1"/>
        <v>2026-01-06|Client Payment|17153</v>
      </c>
      <c r="K11" t="str">
        <f>IF(COUNTIFS(Bank_Books!A:A,G11,Bank_Books!B:B,H11,Bank_Books!C:C,I11)&gt;0,"✓ Found","✗ Missing")</f>
        <v>✗ Missing</v>
      </c>
    </row>
    <row r="12" spans="1:11" x14ac:dyDescent="0.3">
      <c r="A12">
        <v>46029</v>
      </c>
      <c r="B12" t="s">
        <v>138</v>
      </c>
      <c r="C12" s="36">
        <v>-7221</v>
      </c>
      <c r="D12" t="str">
        <f t="shared" si="0"/>
        <v>2026-01-07|Client Payment|-7221</v>
      </c>
      <c r="E12" t="str">
        <f>IF(COUNTIFS(Bank_Statement!A:A,A12,Bank_Statement!B:B,B12,Bank_Statement!C:C,C12)&gt;0,"✓ Found","✗ Missing")</f>
        <v>✗ Missing</v>
      </c>
      <c r="G12">
        <v>46029</v>
      </c>
      <c r="H12" t="s">
        <v>135</v>
      </c>
      <c r="I12" s="36">
        <v>-4586</v>
      </c>
      <c r="J12" t="str">
        <f t="shared" si="1"/>
        <v>2026-01-07|Utility Bill|-4586</v>
      </c>
      <c r="K12" t="str">
        <f>IF(COUNTIFS(Bank_Books!A:A,G12,Bank_Books!B:B,H12,Bank_Books!C:C,I12)&gt;0,"✓ Found","✗ Missing")</f>
        <v>✗ Missing</v>
      </c>
    </row>
    <row r="13" spans="1:11" x14ac:dyDescent="0.3">
      <c r="A13">
        <v>46030</v>
      </c>
      <c r="B13" t="s">
        <v>138</v>
      </c>
      <c r="C13" s="36">
        <v>-2163</v>
      </c>
      <c r="D13" t="str">
        <f t="shared" si="0"/>
        <v>2026-01-08|Client Payment|-2163</v>
      </c>
      <c r="E13" t="str">
        <f>IF(COUNTIFS(Bank_Statement!A:A,A13,Bank_Statement!B:B,B13,Bank_Statement!C:C,C13)&gt;0,"✓ Found","✗ Missing")</f>
        <v>✗ Missing</v>
      </c>
      <c r="G13">
        <v>46030</v>
      </c>
      <c r="H13" t="s">
        <v>136</v>
      </c>
      <c r="I13" s="36">
        <v>-3633</v>
      </c>
      <c r="J13" t="str">
        <f t="shared" si="1"/>
        <v>2026-01-08|Office Rent|-3633</v>
      </c>
      <c r="K13" t="str">
        <f>IF(COUNTIFS(Bank_Books!A:A,G13,Bank_Books!B:B,H13,Bank_Books!C:C,I13)&gt;0,"✓ Found","✗ Missing")</f>
        <v>✗ Missing</v>
      </c>
    </row>
    <row r="14" spans="1:11" x14ac:dyDescent="0.3">
      <c r="A14">
        <v>46031</v>
      </c>
      <c r="B14" t="s">
        <v>135</v>
      </c>
      <c r="C14" s="36">
        <v>-9499</v>
      </c>
      <c r="D14" t="str">
        <f t="shared" si="0"/>
        <v>2026-01-09|Utility Bill|-9499</v>
      </c>
      <c r="E14" t="str">
        <f>IF(COUNTIFS(Bank_Statement!A:A,A14,Bank_Statement!B:B,B14,Bank_Statement!C:C,C14)&gt;0,"✓ Found","✗ Missing")</f>
        <v>✗ Missing</v>
      </c>
      <c r="G14">
        <v>46031</v>
      </c>
      <c r="H14" t="s">
        <v>139</v>
      </c>
      <c r="I14" s="36">
        <v>12001</v>
      </c>
      <c r="J14" t="str">
        <f t="shared" si="1"/>
        <v>2026-01-09|Bank Charges|12001</v>
      </c>
      <c r="K14" t="str">
        <f>IF(COUNTIFS(Bank_Books!A:A,G14,Bank_Books!B:B,H14,Bank_Books!C:C,I14)&gt;0,"✓ Found","✗ Missing")</f>
        <v>✗ Missing</v>
      </c>
    </row>
    <row r="15" spans="1:11" x14ac:dyDescent="0.3">
      <c r="A15">
        <v>46032</v>
      </c>
      <c r="B15" t="s">
        <v>135</v>
      </c>
      <c r="C15" s="36">
        <v>-14246</v>
      </c>
      <c r="D15" t="str">
        <f t="shared" si="0"/>
        <v>2026-01-10|Utility Bill|-14246</v>
      </c>
      <c r="E15" t="str">
        <f>IF(COUNTIFS(Bank_Statement!A:A,A15,Bank_Statement!B:B,B15,Bank_Statement!C:C,C15)&gt;0,"✓ Found","✗ Missing")</f>
        <v>✗ Missing</v>
      </c>
      <c r="G15">
        <v>46032</v>
      </c>
      <c r="H15" t="s">
        <v>138</v>
      </c>
      <c r="I15" s="36">
        <v>-8247</v>
      </c>
      <c r="J15" t="str">
        <f t="shared" si="1"/>
        <v>2026-01-10|Client Payment|-8247</v>
      </c>
      <c r="K15" t="str">
        <f>IF(COUNTIFS(Bank_Books!A:A,G15,Bank_Books!B:B,H15,Bank_Books!C:C,I15)&gt;0,"✓ Found","✗ Missing")</f>
        <v>✗ Missing</v>
      </c>
    </row>
    <row r="16" spans="1:11" x14ac:dyDescent="0.3">
      <c r="A16">
        <v>46033</v>
      </c>
      <c r="B16" t="s">
        <v>135</v>
      </c>
      <c r="C16" s="36">
        <v>8049</v>
      </c>
      <c r="D16" t="str">
        <f t="shared" si="0"/>
        <v>2026-01-11|Utility Bill|8049</v>
      </c>
      <c r="E16" t="str">
        <f>IF(COUNTIFS(Bank_Statement!A:A,A16,Bank_Statement!B:B,B16,Bank_Statement!C:C,C16)&gt;0,"✓ Found","✗ Missing")</f>
        <v>✗ Missing</v>
      </c>
      <c r="G16">
        <v>46033</v>
      </c>
      <c r="H16" t="s">
        <v>135</v>
      </c>
      <c r="I16" s="36">
        <v>-11811</v>
      </c>
      <c r="J16" t="str">
        <f t="shared" si="1"/>
        <v>2026-01-11|Utility Bill|-11811</v>
      </c>
      <c r="K16" t="str">
        <f>IF(COUNTIFS(Bank_Books!A:A,G16,Bank_Books!B:B,H16,Bank_Books!C:C,I16)&gt;0,"✓ Found","✗ Missing")</f>
        <v>✗ Missing</v>
      </c>
    </row>
    <row r="17" spans="1:11" x14ac:dyDescent="0.3">
      <c r="A17">
        <v>46034</v>
      </c>
      <c r="B17" t="s">
        <v>136</v>
      </c>
      <c r="C17" s="36">
        <v>12737</v>
      </c>
      <c r="D17" t="str">
        <f t="shared" si="0"/>
        <v>2026-01-12|Office Rent|12737</v>
      </c>
      <c r="E17" t="str">
        <f>IF(COUNTIFS(Bank_Statement!A:A,A17,Bank_Statement!B:B,B17,Bank_Statement!C:C,C17)&gt;0,"✓ Found","✗ Missing")</f>
        <v>✗ Missing</v>
      </c>
      <c r="G17">
        <v>46034</v>
      </c>
      <c r="H17" t="s">
        <v>138</v>
      </c>
      <c r="I17" s="36">
        <v>18674</v>
      </c>
      <c r="J17" t="str">
        <f t="shared" si="1"/>
        <v>2026-01-12|Client Payment|18674</v>
      </c>
      <c r="K17" t="str">
        <f>IF(COUNTIFS(Bank_Books!A:A,G17,Bank_Books!B:B,H17,Bank_Books!C:C,I17)&gt;0,"✓ Found","✗ Missing")</f>
        <v>✗ Missing</v>
      </c>
    </row>
    <row r="18" spans="1:11" x14ac:dyDescent="0.3">
      <c r="A18">
        <v>46035</v>
      </c>
      <c r="B18" t="s">
        <v>138</v>
      </c>
      <c r="C18" s="36">
        <v>-11846</v>
      </c>
      <c r="D18" t="str">
        <f t="shared" si="0"/>
        <v>2026-01-13|Client Payment|-11846</v>
      </c>
      <c r="E18" t="str">
        <f>IF(COUNTIFS(Bank_Statement!A:A,A18,Bank_Statement!B:B,B18,Bank_Statement!C:C,C18)&gt;0,"✓ Found","✗ Missing")</f>
        <v>✗ Missing</v>
      </c>
      <c r="G18">
        <v>46035</v>
      </c>
      <c r="H18" t="s">
        <v>139</v>
      </c>
      <c r="I18" s="36">
        <v>-10525</v>
      </c>
      <c r="J18" t="str">
        <f t="shared" si="1"/>
        <v>2026-01-13|Bank Charges|-10525</v>
      </c>
      <c r="K18" t="str">
        <f>IF(COUNTIFS(Bank_Books!A:A,G18,Bank_Books!B:B,H18,Bank_Books!C:C,I18)&gt;0,"✓ Found","✗ Missing")</f>
        <v>✗ Missing</v>
      </c>
    </row>
    <row r="19" spans="1:11" x14ac:dyDescent="0.3">
      <c r="A19">
        <v>46036</v>
      </c>
      <c r="B19" t="s">
        <v>134</v>
      </c>
      <c r="C19" s="36">
        <v>14921</v>
      </c>
      <c r="D19" t="str">
        <f t="shared" si="0"/>
        <v>2026-01-14|Consulting Fee|14921</v>
      </c>
      <c r="E19" t="str">
        <f>IF(COUNTIFS(Bank_Statement!A:A,A19,Bank_Statement!B:B,B19,Bank_Statement!C:C,C19)&gt;0,"✓ Found","✗ Missing")</f>
        <v>✗ Missing</v>
      </c>
      <c r="G19">
        <v>46036</v>
      </c>
      <c r="H19" t="s">
        <v>134</v>
      </c>
      <c r="I19" s="36">
        <v>10523</v>
      </c>
      <c r="J19" t="str">
        <f t="shared" si="1"/>
        <v>2026-01-14|Consulting Fee|10523</v>
      </c>
      <c r="K19" t="str">
        <f>IF(COUNTIFS(Bank_Books!A:A,G19,Bank_Books!B:B,H19,Bank_Books!C:C,I19)&gt;0,"✓ Found","✗ Missing")</f>
        <v>✗ Missing</v>
      </c>
    </row>
    <row r="20" spans="1:11" x14ac:dyDescent="0.3">
      <c r="A20">
        <v>46037</v>
      </c>
      <c r="B20" t="s">
        <v>137</v>
      </c>
      <c r="C20" s="36">
        <v>-5231</v>
      </c>
      <c r="D20" t="str">
        <f t="shared" si="0"/>
        <v>2026-01-15|Software Purchase|-5231</v>
      </c>
      <c r="E20" t="str">
        <f>IF(COUNTIFS(Bank_Statement!A:A,A20,Bank_Statement!B:B,B20,Bank_Statement!C:C,C20)&gt;0,"✓ Found","✗ Missing")</f>
        <v>✗ Missing</v>
      </c>
      <c r="G20">
        <v>46037</v>
      </c>
      <c r="H20" t="s">
        <v>135</v>
      </c>
      <c r="I20" s="36">
        <v>20984</v>
      </c>
      <c r="J20" t="str">
        <f t="shared" si="1"/>
        <v>2026-01-15|Utility Bill|20984</v>
      </c>
      <c r="K20" t="str">
        <f>IF(COUNTIFS(Bank_Books!A:A,G20,Bank_Books!B:B,H20,Bank_Books!C:C,I20)&gt;0,"✓ Found","✗ Missing")</f>
        <v>✗ Missing</v>
      </c>
    </row>
    <row r="21" spans="1:11" x14ac:dyDescent="0.3">
      <c r="A21">
        <v>46038</v>
      </c>
      <c r="B21" t="s">
        <v>138</v>
      </c>
      <c r="C21" s="36">
        <v>24311</v>
      </c>
      <c r="D21" t="str">
        <f t="shared" si="0"/>
        <v>2026-01-16|Client Payment|24311</v>
      </c>
      <c r="E21" t="str">
        <f>IF(COUNTIFS(Bank_Statement!A:A,A21,Bank_Statement!B:B,B21,Bank_Statement!C:C,C21)&gt;0,"✓ Found","✗ Missing")</f>
        <v>✗ Missing</v>
      </c>
      <c r="G21">
        <v>46038</v>
      </c>
      <c r="H21" t="s">
        <v>135</v>
      </c>
      <c r="I21" s="36">
        <v>21968</v>
      </c>
      <c r="J21" t="str">
        <f t="shared" si="1"/>
        <v>2026-01-16|Utility Bill|21968</v>
      </c>
      <c r="K21" t="str">
        <f>IF(COUNTIFS(Bank_Books!A:A,G21,Bank_Books!B:B,H21,Bank_Books!C:C,I21)&gt;0,"✓ Found","✗ Missing")</f>
        <v>✗ Missing</v>
      </c>
    </row>
    <row r="22" spans="1:11" x14ac:dyDescent="0.3">
      <c r="A22">
        <v>46039</v>
      </c>
      <c r="B22" t="s">
        <v>137</v>
      </c>
      <c r="C22" s="36">
        <v>9396</v>
      </c>
      <c r="D22" t="str">
        <f t="shared" si="0"/>
        <v>2026-01-17|Software Purchase|9396</v>
      </c>
      <c r="E22" t="str">
        <f>IF(COUNTIFS(Bank_Statement!A:A,A22,Bank_Statement!B:B,B22,Bank_Statement!C:C,C22)&gt;0,"✓ Found","✗ Missing")</f>
        <v>✗ Missing</v>
      </c>
      <c r="G22">
        <v>46039</v>
      </c>
      <c r="H22" t="s">
        <v>139</v>
      </c>
      <c r="I22" s="36">
        <v>22634</v>
      </c>
      <c r="J22" t="str">
        <f t="shared" si="1"/>
        <v>2026-01-17|Bank Charges|22634</v>
      </c>
      <c r="K22" t="str">
        <f>IF(COUNTIFS(Bank_Books!A:A,G22,Bank_Books!B:B,H22,Bank_Books!C:C,I22)&gt;0,"✓ Found","✗ Missing")</f>
        <v>✗ Missing</v>
      </c>
    </row>
    <row r="23" spans="1:11" x14ac:dyDescent="0.3">
      <c r="A23">
        <v>46040</v>
      </c>
      <c r="B23" t="s">
        <v>137</v>
      </c>
      <c r="C23" s="36">
        <v>3161</v>
      </c>
      <c r="D23" t="str">
        <f t="shared" si="0"/>
        <v>2026-01-18|Software Purchase|3161</v>
      </c>
      <c r="E23" t="str">
        <f>IF(COUNTIFS(Bank_Statement!A:A,A23,Bank_Statement!B:B,B23,Bank_Statement!C:C,C23)&gt;0,"✓ Found","✗ Missing")</f>
        <v>✗ Missing</v>
      </c>
      <c r="G23">
        <v>46040</v>
      </c>
      <c r="H23" t="s">
        <v>135</v>
      </c>
      <c r="I23" s="36">
        <v>22694</v>
      </c>
      <c r="J23" t="str">
        <f t="shared" si="1"/>
        <v>2026-01-18|Utility Bill|22694</v>
      </c>
      <c r="K23" t="str">
        <f>IF(COUNTIFS(Bank_Books!A:A,G23,Bank_Books!B:B,H23,Bank_Books!C:C,I23)&gt;0,"✓ Found","✗ Missing")</f>
        <v>✗ Missing</v>
      </c>
    </row>
    <row r="24" spans="1:11" x14ac:dyDescent="0.3">
      <c r="A24">
        <v>46041</v>
      </c>
      <c r="B24" t="s">
        <v>134</v>
      </c>
      <c r="C24" s="36">
        <v>14487</v>
      </c>
      <c r="D24" t="str">
        <f t="shared" si="0"/>
        <v>2026-01-19|Consulting Fee|14487</v>
      </c>
      <c r="E24" t="str">
        <f>IF(COUNTIFS(Bank_Statement!A:A,A24,Bank_Statement!B:B,B24,Bank_Statement!C:C,C24)&gt;0,"✓ Found","✗ Missing")</f>
        <v>✗ Missing</v>
      </c>
      <c r="G24">
        <v>46041</v>
      </c>
      <c r="H24" t="s">
        <v>134</v>
      </c>
      <c r="I24" s="36">
        <v>-6344</v>
      </c>
      <c r="J24" t="str">
        <f t="shared" si="1"/>
        <v>2026-01-19|Consulting Fee|-6344</v>
      </c>
      <c r="K24" t="str">
        <f>IF(COUNTIFS(Bank_Books!A:A,G24,Bank_Books!B:B,H24,Bank_Books!C:C,I24)&gt;0,"✓ Found","✗ Missing")</f>
        <v>✗ Missing</v>
      </c>
    </row>
    <row r="25" spans="1:11" x14ac:dyDescent="0.3">
      <c r="A25">
        <v>46042</v>
      </c>
      <c r="B25" t="s">
        <v>138</v>
      </c>
      <c r="C25" s="36">
        <v>10506</v>
      </c>
      <c r="D25" t="str">
        <f t="shared" si="0"/>
        <v>2026-01-20|Client Payment|10506</v>
      </c>
      <c r="E25" t="str">
        <f>IF(COUNTIFS(Bank_Statement!A:A,A25,Bank_Statement!B:B,B25,Bank_Statement!C:C,C25)&gt;0,"✓ Found","✗ Missing")</f>
        <v>✗ Missing</v>
      </c>
      <c r="G25">
        <v>46042</v>
      </c>
      <c r="H25" t="s">
        <v>136</v>
      </c>
      <c r="I25" s="36">
        <v>15762</v>
      </c>
      <c r="J25" t="str">
        <f t="shared" si="1"/>
        <v>2026-01-20|Office Rent|15762</v>
      </c>
      <c r="K25" t="str">
        <f>IF(COUNTIFS(Bank_Books!A:A,G25,Bank_Books!B:B,H25,Bank_Books!C:C,I25)&gt;0,"✓ Found","✗ Missing")</f>
        <v>✗ Missing</v>
      </c>
    </row>
    <row r="26" spans="1:11" x14ac:dyDescent="0.3">
      <c r="A26">
        <v>46043</v>
      </c>
      <c r="B26" t="s">
        <v>135</v>
      </c>
      <c r="C26" s="36">
        <v>10450</v>
      </c>
      <c r="D26" t="str">
        <f t="shared" si="0"/>
        <v>2026-01-21|Utility Bill|10450</v>
      </c>
      <c r="E26" t="str">
        <f>IF(COUNTIFS(Bank_Statement!A:A,A26,Bank_Statement!B:B,B26,Bank_Statement!C:C,C26)&gt;0,"✓ Found","✗ Missing")</f>
        <v>✗ Missing</v>
      </c>
      <c r="G26">
        <v>46043</v>
      </c>
      <c r="H26" t="s">
        <v>135</v>
      </c>
      <c r="I26" s="36">
        <v>-5112</v>
      </c>
      <c r="J26" t="str">
        <f t="shared" si="1"/>
        <v>2026-01-21|Utility Bill|-5112</v>
      </c>
      <c r="K26" t="str">
        <f>IF(COUNTIFS(Bank_Books!A:A,G26,Bank_Books!B:B,H26,Bank_Books!C:C,I26)&gt;0,"✓ Found","✗ Missing")</f>
        <v>✗ Missing</v>
      </c>
    </row>
    <row r="27" spans="1:11" x14ac:dyDescent="0.3">
      <c r="A27">
        <v>46044</v>
      </c>
      <c r="B27" t="s">
        <v>135</v>
      </c>
      <c r="C27" s="36">
        <v>4979</v>
      </c>
      <c r="D27" t="str">
        <f t="shared" si="0"/>
        <v>2026-01-22|Utility Bill|4979</v>
      </c>
      <c r="E27" t="str">
        <f>IF(COUNTIFS(Bank_Statement!A:A,A27,Bank_Statement!B:B,B27,Bank_Statement!C:C,C27)&gt;0,"✓ Found","✗ Missing")</f>
        <v>✗ Missing</v>
      </c>
      <c r="G27">
        <v>46044</v>
      </c>
      <c r="H27" t="s">
        <v>139</v>
      </c>
      <c r="I27" s="36">
        <v>23560</v>
      </c>
      <c r="J27" t="str">
        <f t="shared" si="1"/>
        <v>2026-01-22|Bank Charges|23560</v>
      </c>
      <c r="K27" t="str">
        <f>IF(COUNTIFS(Bank_Books!A:A,G27,Bank_Books!B:B,H27,Bank_Books!C:C,I27)&gt;0,"✓ Found","✗ Missing")</f>
        <v>✗ Missing</v>
      </c>
    </row>
    <row r="28" spans="1:11" x14ac:dyDescent="0.3">
      <c r="A28">
        <v>46045</v>
      </c>
      <c r="B28" t="s">
        <v>138</v>
      </c>
      <c r="C28" s="36">
        <v>6912</v>
      </c>
      <c r="D28" t="str">
        <f t="shared" si="0"/>
        <v>2026-01-23|Client Payment|6912</v>
      </c>
      <c r="E28" t="str">
        <f>IF(COUNTIFS(Bank_Statement!A:A,A28,Bank_Statement!B:B,B28,Bank_Statement!C:C,C28)&gt;0,"✓ Found","✗ Missing")</f>
        <v>✗ Missing</v>
      </c>
      <c r="G28">
        <v>46045</v>
      </c>
      <c r="H28" t="s">
        <v>134</v>
      </c>
      <c r="I28" s="36">
        <v>-1989</v>
      </c>
      <c r="J28" t="str">
        <f t="shared" si="1"/>
        <v>2026-01-23|Consulting Fee|-1989</v>
      </c>
      <c r="K28" t="str">
        <f>IF(COUNTIFS(Bank_Books!A:A,G28,Bank_Books!B:B,H28,Bank_Books!C:C,I28)&gt;0,"✓ Found","✗ Missing")</f>
        <v>✗ Missing</v>
      </c>
    </row>
    <row r="29" spans="1:11" x14ac:dyDescent="0.3">
      <c r="A29">
        <v>46046</v>
      </c>
      <c r="B29" t="s">
        <v>137</v>
      </c>
      <c r="C29" s="36">
        <v>-9385</v>
      </c>
      <c r="D29" t="str">
        <f t="shared" si="0"/>
        <v>2026-01-24|Software Purchase|-9385</v>
      </c>
      <c r="E29" t="str">
        <f>IF(COUNTIFS(Bank_Statement!A:A,A29,Bank_Statement!B:B,B29,Bank_Statement!C:C,C29)&gt;0,"✓ Found","✗ Missing")</f>
        <v>✗ Missing</v>
      </c>
      <c r="G29">
        <v>46046</v>
      </c>
      <c r="H29" t="s">
        <v>138</v>
      </c>
      <c r="I29" s="36">
        <v>5307</v>
      </c>
      <c r="J29" t="str">
        <f t="shared" si="1"/>
        <v>2026-01-24|Client Payment|5307</v>
      </c>
      <c r="K29" t="str">
        <f>IF(COUNTIFS(Bank_Books!A:A,G29,Bank_Books!B:B,H29,Bank_Books!C:C,I29)&gt;0,"✓ Found","✗ Missing")</f>
        <v>✗ Missing</v>
      </c>
    </row>
    <row r="30" spans="1:11" x14ac:dyDescent="0.3">
      <c r="A30">
        <v>46047</v>
      </c>
      <c r="B30" t="s">
        <v>134</v>
      </c>
      <c r="C30" s="36">
        <v>1115</v>
      </c>
      <c r="D30" t="str">
        <f t="shared" si="0"/>
        <v>2026-01-25|Consulting Fee|1115</v>
      </c>
      <c r="E30" t="str">
        <f>IF(COUNTIFS(Bank_Statement!A:A,A30,Bank_Statement!B:B,B30,Bank_Statement!C:C,C30)&gt;0,"✓ Found","✗ Missing")</f>
        <v>✗ Missing</v>
      </c>
      <c r="G30">
        <v>46047</v>
      </c>
      <c r="H30" t="s">
        <v>134</v>
      </c>
      <c r="I30" s="36">
        <v>-10087</v>
      </c>
      <c r="J30" t="str">
        <f t="shared" si="1"/>
        <v>2026-01-25|Consulting Fee|-10087</v>
      </c>
      <c r="K30" t="str">
        <f>IF(COUNTIFS(Bank_Books!A:A,G30,Bank_Books!B:B,H30,Bank_Books!C:C,I30)&gt;0,"✓ Found","✗ Missing")</f>
        <v>✗ Missing</v>
      </c>
    </row>
    <row r="31" spans="1:11" x14ac:dyDescent="0.3">
      <c r="A31">
        <v>46048</v>
      </c>
      <c r="B31" t="s">
        <v>138</v>
      </c>
      <c r="C31" s="36">
        <v>1906</v>
      </c>
      <c r="D31" t="str">
        <f t="shared" si="0"/>
        <v>2026-01-26|Client Payment|1906</v>
      </c>
      <c r="E31" t="str">
        <f>IF(COUNTIFS(Bank_Statement!A:A,A31,Bank_Statement!B:B,B31,Bank_Statement!C:C,C31)&gt;0,"✓ Found","✗ Missing")</f>
        <v>✗ Missing</v>
      </c>
      <c r="G31">
        <v>46048</v>
      </c>
      <c r="H31" t="s">
        <v>139</v>
      </c>
      <c r="I31" s="36">
        <v>5529</v>
      </c>
      <c r="J31" t="str">
        <f t="shared" si="1"/>
        <v>2026-01-26|Bank Charges|5529</v>
      </c>
      <c r="K31" t="str">
        <f>IF(COUNTIFS(Bank_Books!A:A,G31,Bank_Books!B:B,H31,Bank_Books!C:C,I31)&gt;0,"✓ Found","✗ Missing")</f>
        <v>✗ Missing</v>
      </c>
    </row>
    <row r="32" spans="1:11" x14ac:dyDescent="0.3">
      <c r="A32">
        <v>46049</v>
      </c>
      <c r="B32" t="s">
        <v>136</v>
      </c>
      <c r="C32" s="36">
        <v>1327</v>
      </c>
      <c r="D32" t="str">
        <f t="shared" si="0"/>
        <v>2026-01-27|Office Rent|1327</v>
      </c>
      <c r="E32" t="str">
        <f>IF(COUNTIFS(Bank_Statement!A:A,A32,Bank_Statement!B:B,B32,Bank_Statement!C:C,C32)&gt;0,"✓ Found","✗ Missing")</f>
        <v>✗ Missing</v>
      </c>
      <c r="G32">
        <v>46049</v>
      </c>
      <c r="H32" t="s">
        <v>134</v>
      </c>
      <c r="I32" s="36">
        <v>-8286</v>
      </c>
      <c r="J32" t="str">
        <f t="shared" si="1"/>
        <v>2026-01-27|Consulting Fee|-8286</v>
      </c>
      <c r="K32" t="str">
        <f>IF(COUNTIFS(Bank_Books!A:A,G32,Bank_Books!B:B,H32,Bank_Books!C:C,I32)&gt;0,"✓ Found","✗ Missing")</f>
        <v>✗ Missing</v>
      </c>
    </row>
    <row r="33" spans="1:11" x14ac:dyDescent="0.3">
      <c r="A33">
        <v>46050</v>
      </c>
      <c r="B33" t="s">
        <v>135</v>
      </c>
      <c r="C33" s="36">
        <v>14420</v>
      </c>
      <c r="D33" t="str">
        <f t="shared" si="0"/>
        <v>2026-01-28|Utility Bill|14420</v>
      </c>
      <c r="E33" t="str">
        <f>IF(COUNTIFS(Bank_Statement!A:A,A33,Bank_Statement!B:B,B33,Bank_Statement!C:C,C33)&gt;0,"✓ Found","✗ Missing")</f>
        <v>✗ Missing</v>
      </c>
      <c r="G33">
        <v>46050</v>
      </c>
      <c r="H33" t="s">
        <v>138</v>
      </c>
      <c r="I33" s="36">
        <v>18993</v>
      </c>
      <c r="J33" t="str">
        <f t="shared" si="1"/>
        <v>2026-01-28|Client Payment|18993</v>
      </c>
      <c r="K33" t="str">
        <f>IF(COUNTIFS(Bank_Books!A:A,G33,Bank_Books!B:B,H33,Bank_Books!C:C,I33)&gt;0,"✓ Found","✗ Missing")</f>
        <v>✗ Missing</v>
      </c>
    </row>
    <row r="34" spans="1:11" x14ac:dyDescent="0.3">
      <c r="A34">
        <v>46051</v>
      </c>
      <c r="B34" t="s">
        <v>135</v>
      </c>
      <c r="C34" s="36">
        <v>-9725</v>
      </c>
      <c r="D34" t="str">
        <f t="shared" si="0"/>
        <v>2026-01-29|Utility Bill|-9725</v>
      </c>
      <c r="E34" t="str">
        <f>IF(COUNTIFS(Bank_Statement!A:A,A34,Bank_Statement!B:B,B34,Bank_Statement!C:C,C34)&gt;0,"✓ Found","✗ Missing")</f>
        <v>✗ Missing</v>
      </c>
      <c r="G34">
        <v>46051</v>
      </c>
      <c r="H34" t="s">
        <v>136</v>
      </c>
      <c r="I34" s="36">
        <v>-5876</v>
      </c>
      <c r="J34" t="str">
        <f t="shared" si="1"/>
        <v>2026-01-29|Office Rent|-5876</v>
      </c>
      <c r="K34" t="str">
        <f>IF(COUNTIFS(Bank_Books!A:A,G34,Bank_Books!B:B,H34,Bank_Books!C:C,I34)&gt;0,"✓ Found","✗ Missing")</f>
        <v>✗ Missing</v>
      </c>
    </row>
    <row r="35" spans="1:11" x14ac:dyDescent="0.3">
      <c r="A35">
        <v>46052</v>
      </c>
      <c r="B35" t="s">
        <v>135</v>
      </c>
      <c r="C35" s="36">
        <v>9975</v>
      </c>
      <c r="D35" t="str">
        <f t="shared" si="0"/>
        <v>2026-01-30|Utility Bill|9975</v>
      </c>
      <c r="E35" t="str">
        <f>IF(COUNTIFS(Bank_Statement!A:A,A35,Bank_Statement!B:B,B35,Bank_Statement!C:C,C35)&gt;0,"✓ Found","✗ Missing")</f>
        <v>✗ Missing</v>
      </c>
      <c r="G35">
        <v>46052</v>
      </c>
      <c r="H35" t="s">
        <v>135</v>
      </c>
      <c r="I35" s="36">
        <v>23586</v>
      </c>
      <c r="J35" t="str">
        <f t="shared" si="1"/>
        <v>2026-01-30|Utility Bill|23586</v>
      </c>
      <c r="K35" t="str">
        <f>IF(COUNTIFS(Bank_Books!A:A,G35,Bank_Books!B:B,H35,Bank_Books!C:C,I35)&gt;0,"✓ Found","✗ Missing")</f>
        <v>✗ Missing</v>
      </c>
    </row>
    <row r="36" spans="1:11" x14ac:dyDescent="0.3">
      <c r="A36">
        <v>46053</v>
      </c>
      <c r="B36" t="s">
        <v>135</v>
      </c>
      <c r="C36" s="36">
        <v>-6840</v>
      </c>
      <c r="D36" t="str">
        <f t="shared" si="0"/>
        <v>2026-01-31|Utility Bill|-6840</v>
      </c>
      <c r="E36" t="str">
        <f>IF(COUNTIFS(Bank_Statement!A:A,A36,Bank_Statement!B:B,B36,Bank_Statement!C:C,C36)&gt;0,"✓ Found","✗ Missing")</f>
        <v>✗ Missing</v>
      </c>
      <c r="G36">
        <v>46053</v>
      </c>
      <c r="H36" t="s">
        <v>135</v>
      </c>
      <c r="I36" s="36">
        <v>19</v>
      </c>
      <c r="J36" t="str">
        <f t="shared" si="1"/>
        <v>2026-01-31|Utility Bill|19</v>
      </c>
      <c r="K36" t="str">
        <f>IF(COUNTIFS(Bank_Books!A:A,G36,Bank_Books!B:B,H36,Bank_Books!C:C,I36)&gt;0,"✓ Found","✗ Missing")</f>
        <v>✗ Missing</v>
      </c>
    </row>
    <row r="37" spans="1:11" x14ac:dyDescent="0.3">
      <c r="A37">
        <v>46054</v>
      </c>
      <c r="B37" t="s">
        <v>137</v>
      </c>
      <c r="C37" s="36">
        <v>24797</v>
      </c>
      <c r="D37" t="str">
        <f t="shared" si="0"/>
        <v>2026-02-01|Software Purchase|24797</v>
      </c>
      <c r="E37" t="str">
        <f>IF(COUNTIFS(Bank_Statement!A:A,A37,Bank_Statement!B:B,B37,Bank_Statement!C:C,C37)&gt;0,"✓ Found","✗ Missing")</f>
        <v>✗ Missing</v>
      </c>
      <c r="G37">
        <v>46054</v>
      </c>
      <c r="H37" t="s">
        <v>134</v>
      </c>
      <c r="I37" s="36">
        <v>-9326</v>
      </c>
      <c r="J37" t="str">
        <f t="shared" si="1"/>
        <v>2026-02-01|Consulting Fee|-9326</v>
      </c>
      <c r="K37" t="str">
        <f>IF(COUNTIFS(Bank_Books!A:A,G37,Bank_Books!B:B,H37,Bank_Books!C:C,I37)&gt;0,"✓ Found","✗ Missing")</f>
        <v>✗ Missing</v>
      </c>
    </row>
    <row r="38" spans="1:11" x14ac:dyDescent="0.3">
      <c r="A38">
        <v>46055</v>
      </c>
      <c r="B38" t="s">
        <v>134</v>
      </c>
      <c r="C38" s="36">
        <v>-7506</v>
      </c>
      <c r="D38" t="str">
        <f t="shared" si="0"/>
        <v>2026-02-02|Consulting Fee|-7506</v>
      </c>
      <c r="E38" t="str">
        <f>IF(COUNTIFS(Bank_Statement!A:A,A38,Bank_Statement!B:B,B38,Bank_Statement!C:C,C38)&gt;0,"✓ Found","✗ Missing")</f>
        <v>✗ Missing</v>
      </c>
      <c r="G38">
        <v>46055</v>
      </c>
      <c r="H38" t="s">
        <v>136</v>
      </c>
      <c r="I38" s="36">
        <v>11261</v>
      </c>
      <c r="J38" t="str">
        <f t="shared" si="1"/>
        <v>2026-02-02|Office Rent|11261</v>
      </c>
      <c r="K38" t="str">
        <f>IF(COUNTIFS(Bank_Books!A:A,G38,Bank_Books!B:B,H38,Bank_Books!C:C,I38)&gt;0,"✓ Found","✗ Missing")</f>
        <v>✗ Missing</v>
      </c>
    </row>
    <row r="39" spans="1:11" x14ac:dyDescent="0.3">
      <c r="A39">
        <v>46056</v>
      </c>
      <c r="B39" t="s">
        <v>136</v>
      </c>
      <c r="C39" s="36">
        <v>-7827</v>
      </c>
      <c r="D39" t="str">
        <f t="shared" si="0"/>
        <v>2026-02-03|Office Rent|-7827</v>
      </c>
      <c r="E39" t="str">
        <f>IF(COUNTIFS(Bank_Statement!A:A,A39,Bank_Statement!B:B,B39,Bank_Statement!C:C,C39)&gt;0,"✓ Found","✗ Missing")</f>
        <v>✗ Missing</v>
      </c>
      <c r="G39">
        <v>46056</v>
      </c>
      <c r="H39" t="s">
        <v>135</v>
      </c>
      <c r="I39" s="36">
        <v>12464</v>
      </c>
      <c r="J39" t="str">
        <f t="shared" si="1"/>
        <v>2026-02-03|Utility Bill|12464</v>
      </c>
      <c r="K39" t="str">
        <f>IF(COUNTIFS(Bank_Books!A:A,G39,Bank_Books!B:B,H39,Bank_Books!C:C,I39)&gt;0,"✓ Found","✗ Missing")</f>
        <v>✗ Missing</v>
      </c>
    </row>
    <row r="40" spans="1:11" x14ac:dyDescent="0.3">
      <c r="A40">
        <v>46057</v>
      </c>
      <c r="B40" t="s">
        <v>135</v>
      </c>
      <c r="C40" s="36">
        <v>9853</v>
      </c>
      <c r="D40" t="str">
        <f t="shared" si="0"/>
        <v>2026-02-04|Utility Bill|9853</v>
      </c>
      <c r="E40" t="str">
        <f>IF(COUNTIFS(Bank_Statement!A:A,A40,Bank_Statement!B:B,B40,Bank_Statement!C:C,C40)&gt;0,"✓ Found","✗ Missing")</f>
        <v>✗ Missing</v>
      </c>
      <c r="G40">
        <v>46057</v>
      </c>
      <c r="H40" t="s">
        <v>134</v>
      </c>
      <c r="I40" s="36">
        <v>-3688</v>
      </c>
      <c r="J40" t="str">
        <f t="shared" si="1"/>
        <v>2026-02-04|Consulting Fee|-3688</v>
      </c>
      <c r="K40" t="str">
        <f>IF(COUNTIFS(Bank_Books!A:A,G40,Bank_Books!B:B,H40,Bank_Books!C:C,I40)&gt;0,"✓ Found","✗ Missing")</f>
        <v>✗ Missing</v>
      </c>
    </row>
    <row r="41" spans="1:11" x14ac:dyDescent="0.3">
      <c r="A41">
        <v>46058</v>
      </c>
      <c r="B41" t="s">
        <v>137</v>
      </c>
      <c r="C41" s="36">
        <v>244</v>
      </c>
      <c r="D41" t="str">
        <f t="shared" si="0"/>
        <v>2026-02-05|Software Purchase|244</v>
      </c>
      <c r="E41" t="str">
        <f>IF(COUNTIFS(Bank_Statement!A:A,A41,Bank_Statement!B:B,B41,Bank_Statement!C:C,C41)&gt;0,"✓ Found","✗ Missing")</f>
        <v>✗ Missing</v>
      </c>
      <c r="G41">
        <v>46058</v>
      </c>
      <c r="H41" t="s">
        <v>134</v>
      </c>
      <c r="I41" s="36">
        <v>14045</v>
      </c>
      <c r="J41" t="str">
        <f t="shared" si="1"/>
        <v>2026-02-05|Consulting Fee|14045</v>
      </c>
      <c r="K41" t="str">
        <f>IF(COUNTIFS(Bank_Books!A:A,G41,Bank_Books!B:B,H41,Bank_Books!C:C,I41)&gt;0,"✓ Found","✗ Missing")</f>
        <v>✗ Missing</v>
      </c>
    </row>
    <row r="42" spans="1:11" x14ac:dyDescent="0.3">
      <c r="A42">
        <v>46059</v>
      </c>
      <c r="B42" t="s">
        <v>137</v>
      </c>
      <c r="C42" s="36">
        <v>-3276</v>
      </c>
      <c r="D42" t="str">
        <f t="shared" si="0"/>
        <v>2026-02-06|Software Purchase|-3276</v>
      </c>
      <c r="E42" t="str">
        <f>IF(COUNTIFS(Bank_Statement!A:A,A42,Bank_Statement!B:B,B42,Bank_Statement!C:C,C42)&gt;0,"✓ Found","✗ Missing")</f>
        <v>✗ Missing</v>
      </c>
      <c r="G42">
        <v>46059</v>
      </c>
      <c r="H42" t="s">
        <v>135</v>
      </c>
      <c r="I42" s="36">
        <v>-4303</v>
      </c>
      <c r="J42" t="str">
        <f t="shared" si="1"/>
        <v>2026-02-06|Utility Bill|-4303</v>
      </c>
      <c r="K42" t="str">
        <f>IF(COUNTIFS(Bank_Books!A:A,G42,Bank_Books!B:B,H42,Bank_Books!C:C,I42)&gt;0,"✓ Found","✗ Missing")</f>
        <v>✗ Missing</v>
      </c>
    </row>
    <row r="43" spans="1:11" x14ac:dyDescent="0.3">
      <c r="A43">
        <v>46060</v>
      </c>
      <c r="B43" t="s">
        <v>135</v>
      </c>
      <c r="C43" s="36">
        <v>6966</v>
      </c>
      <c r="D43" t="str">
        <f t="shared" si="0"/>
        <v>2026-02-07|Utility Bill|6966</v>
      </c>
      <c r="E43" t="str">
        <f>IF(COUNTIFS(Bank_Statement!A:A,A43,Bank_Statement!B:B,B43,Bank_Statement!C:C,C43)&gt;0,"✓ Found","✗ Missing")</f>
        <v>✗ Missing</v>
      </c>
      <c r="G43">
        <v>46060</v>
      </c>
      <c r="H43" t="s">
        <v>139</v>
      </c>
      <c r="I43" s="36">
        <v>-7078</v>
      </c>
      <c r="J43" t="str">
        <f t="shared" si="1"/>
        <v>2026-02-07|Bank Charges|-7078</v>
      </c>
      <c r="K43" t="str">
        <f>IF(COUNTIFS(Bank_Books!A:A,G43,Bank_Books!B:B,H43,Bank_Books!C:C,I43)&gt;0,"✓ Found","✗ Missing")</f>
        <v>✗ Missing</v>
      </c>
    </row>
    <row r="44" spans="1:11" x14ac:dyDescent="0.3">
      <c r="A44">
        <v>46061</v>
      </c>
      <c r="B44" t="s">
        <v>135</v>
      </c>
      <c r="C44" s="36">
        <v>472</v>
      </c>
      <c r="D44" t="str">
        <f t="shared" si="0"/>
        <v>2026-02-08|Utility Bill|472</v>
      </c>
      <c r="E44" t="str">
        <f>IF(COUNTIFS(Bank_Statement!A:A,A44,Bank_Statement!B:B,B44,Bank_Statement!C:C,C44)&gt;0,"✓ Found","✗ Missing")</f>
        <v>✗ Missing</v>
      </c>
      <c r="G44">
        <v>46061</v>
      </c>
      <c r="H44" t="s">
        <v>135</v>
      </c>
      <c r="I44" s="36">
        <v>-13326</v>
      </c>
      <c r="J44" t="str">
        <f t="shared" si="1"/>
        <v>2026-02-08|Utility Bill|-13326</v>
      </c>
      <c r="K44" t="str">
        <f>IF(COUNTIFS(Bank_Books!A:A,G44,Bank_Books!B:B,H44,Bank_Books!C:C,I44)&gt;0,"✓ Found","✗ Missing")</f>
        <v>✗ Missing</v>
      </c>
    </row>
    <row r="45" spans="1:11" x14ac:dyDescent="0.3">
      <c r="A45">
        <v>46062</v>
      </c>
      <c r="B45" t="s">
        <v>135</v>
      </c>
      <c r="C45" s="36">
        <v>23021</v>
      </c>
      <c r="D45" t="str">
        <f t="shared" si="0"/>
        <v>2026-02-09|Utility Bill|23021</v>
      </c>
      <c r="E45" t="str">
        <f>IF(COUNTIFS(Bank_Statement!A:A,A45,Bank_Statement!B:B,B45,Bank_Statement!C:C,C45)&gt;0,"✓ Found","✗ Missing")</f>
        <v>✗ Missing</v>
      </c>
      <c r="G45">
        <v>46062</v>
      </c>
      <c r="H45" t="s">
        <v>138</v>
      </c>
      <c r="I45" s="36">
        <v>3328</v>
      </c>
      <c r="J45" t="str">
        <f t="shared" si="1"/>
        <v>2026-02-09|Client Payment|3328</v>
      </c>
      <c r="K45" t="str">
        <f>IF(COUNTIFS(Bank_Books!A:A,G45,Bank_Books!B:B,H45,Bank_Books!C:C,I45)&gt;0,"✓ Found","✗ Missing")</f>
        <v>✗ Missing</v>
      </c>
    </row>
    <row r="48" spans="1:11" ht="18" x14ac:dyDescent="0.35">
      <c r="A48" s="57" t="s">
        <v>534</v>
      </c>
      <c r="B48" s="56"/>
    </row>
    <row r="49" spans="1:2" x14ac:dyDescent="0.3">
      <c r="A49" s="43" t="s">
        <v>535</v>
      </c>
      <c r="B49" s="43" t="s">
        <v>536</v>
      </c>
    </row>
    <row r="50" spans="1:2" x14ac:dyDescent="0.3">
      <c r="A50" t="s">
        <v>537</v>
      </c>
      <c r="B50">
        <f>COUNTA(A6:A45)</f>
        <v>40</v>
      </c>
    </row>
    <row r="51" spans="1:2" x14ac:dyDescent="0.3">
      <c r="A51" t="s">
        <v>538</v>
      </c>
      <c r="B51">
        <f>COUNTA(G6:G45)</f>
        <v>40</v>
      </c>
    </row>
    <row r="52" spans="1:2" x14ac:dyDescent="0.3">
      <c r="A52" t="s">
        <v>568</v>
      </c>
      <c r="B52" s="58">
        <f>COUNTIF(E6:E45,"✗ Missing")</f>
        <v>40</v>
      </c>
    </row>
    <row r="53" spans="1:2" x14ac:dyDescent="0.3">
      <c r="A53" t="s">
        <v>569</v>
      </c>
      <c r="B53" s="13">
        <f>COUNTIF(K6:K45,"✗ Missing")</f>
        <v>40</v>
      </c>
    </row>
    <row r="54" spans="1:2" x14ac:dyDescent="0.3">
      <c r="A54" t="s">
        <v>570</v>
      </c>
      <c r="B54" s="59">
        <f>COUNTIF(E6:E45,"✓ Found")</f>
        <v>0</v>
      </c>
    </row>
    <row r="55" spans="1:2" x14ac:dyDescent="0.3">
      <c r="A55" t="s">
        <v>543</v>
      </c>
      <c r="B55" s="36">
        <f>SUM(C6:C45)</f>
        <v>184616</v>
      </c>
    </row>
    <row r="56" spans="1:2" x14ac:dyDescent="0.3">
      <c r="A56" t="s">
        <v>544</v>
      </c>
      <c r="B56" s="36">
        <f>SUM(I6:I45)</f>
        <v>209914</v>
      </c>
    </row>
    <row r="57" spans="1:2" x14ac:dyDescent="0.3">
      <c r="A57" s="60" t="s">
        <v>552</v>
      </c>
      <c r="B57" s="61">
        <f>B55-B56</f>
        <v>-25298</v>
      </c>
    </row>
  </sheetData>
  <mergeCells count="2">
    <mergeCell ref="A1:D1"/>
    <mergeCell ref="A2:D2"/>
  </mergeCells>
  <conditionalFormatting sqref="E6:E45">
    <cfRule type="containsText" dxfId="25" priority="1" operator="containsText" text="Missing">
      <formula>NOT(ISERROR(SEARCH("Missing",E6)))</formula>
    </cfRule>
    <cfRule type="containsText" dxfId="24" priority="2" operator="containsText" text="Found">
      <formula>NOT(ISERROR(SEARCH("Found",E6)))</formula>
    </cfRule>
  </conditionalFormatting>
  <conditionalFormatting sqref="K6:K45">
    <cfRule type="containsText" dxfId="23" priority="3" operator="containsText" text="Missing">
      <formula>NOT(ISERROR(SEARCH("Missing",K6)))</formula>
    </cfRule>
    <cfRule type="containsText" dxfId="22" priority="4" operator="containsText" text="Found">
      <formula>NOT(ISERROR(SEARCH("Found",K6)))</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79998168889431442"/>
  </sheetPr>
  <dimension ref="A1:D41"/>
  <sheetViews>
    <sheetView workbookViewId="0"/>
  </sheetViews>
  <sheetFormatPr defaultRowHeight="14.4" x14ac:dyDescent="0.3"/>
  <cols>
    <col min="1" max="4" width="15.109375" customWidth="1"/>
  </cols>
  <sheetData>
    <row r="1" spans="1:4" x14ac:dyDescent="0.3">
      <c r="A1" t="s">
        <v>88</v>
      </c>
      <c r="B1" t="s">
        <v>140</v>
      </c>
      <c r="C1" t="s">
        <v>132</v>
      </c>
      <c r="D1" t="s">
        <v>133</v>
      </c>
    </row>
    <row r="2" spans="1:4" x14ac:dyDescent="0.3">
      <c r="A2" s="1">
        <v>46023</v>
      </c>
      <c r="B2" t="s">
        <v>141</v>
      </c>
      <c r="C2" t="s">
        <v>142</v>
      </c>
      <c r="D2">
        <v>4882</v>
      </c>
    </row>
    <row r="3" spans="1:4" x14ac:dyDescent="0.3">
      <c r="A3" s="1">
        <v>46024</v>
      </c>
      <c r="B3" t="s">
        <v>141</v>
      </c>
      <c r="C3" t="s">
        <v>143</v>
      </c>
      <c r="D3">
        <v>9758</v>
      </c>
    </row>
    <row r="4" spans="1:4" x14ac:dyDescent="0.3">
      <c r="A4" s="1">
        <v>46025</v>
      </c>
      <c r="B4" t="s">
        <v>144</v>
      </c>
      <c r="C4" t="s">
        <v>145</v>
      </c>
      <c r="D4">
        <v>2417</v>
      </c>
    </row>
    <row r="5" spans="1:4" x14ac:dyDescent="0.3">
      <c r="A5" s="1">
        <v>46026</v>
      </c>
      <c r="B5" t="s">
        <v>122</v>
      </c>
      <c r="C5" t="s">
        <v>146</v>
      </c>
      <c r="D5">
        <v>6640</v>
      </c>
    </row>
    <row r="6" spans="1:4" x14ac:dyDescent="0.3">
      <c r="A6" s="1">
        <v>46027</v>
      </c>
      <c r="B6" t="s">
        <v>122</v>
      </c>
      <c r="C6" t="s">
        <v>147</v>
      </c>
      <c r="D6">
        <v>5900</v>
      </c>
    </row>
    <row r="7" spans="1:4" x14ac:dyDescent="0.3">
      <c r="A7" s="1">
        <v>46028</v>
      </c>
      <c r="B7" t="s">
        <v>122</v>
      </c>
      <c r="C7" t="s">
        <v>148</v>
      </c>
      <c r="D7">
        <v>1818</v>
      </c>
    </row>
    <row r="8" spans="1:4" x14ac:dyDescent="0.3">
      <c r="A8" s="1">
        <v>46029</v>
      </c>
      <c r="B8" t="s">
        <v>122</v>
      </c>
      <c r="C8" t="s">
        <v>149</v>
      </c>
      <c r="D8">
        <v>6877</v>
      </c>
    </row>
    <row r="9" spans="1:4" x14ac:dyDescent="0.3">
      <c r="A9" s="1">
        <v>46030</v>
      </c>
      <c r="B9" t="s">
        <v>141</v>
      </c>
      <c r="C9" t="s">
        <v>150</v>
      </c>
      <c r="D9">
        <v>1313</v>
      </c>
    </row>
    <row r="10" spans="1:4" x14ac:dyDescent="0.3">
      <c r="A10" s="1">
        <v>46031</v>
      </c>
      <c r="B10" t="s">
        <v>141</v>
      </c>
      <c r="C10" t="s">
        <v>151</v>
      </c>
      <c r="D10">
        <v>2293</v>
      </c>
    </row>
    <row r="11" spans="1:4" x14ac:dyDescent="0.3">
      <c r="A11" s="1">
        <v>46032</v>
      </c>
      <c r="B11" t="s">
        <v>152</v>
      </c>
      <c r="C11" t="s">
        <v>153</v>
      </c>
      <c r="D11">
        <v>4390</v>
      </c>
    </row>
    <row r="12" spans="1:4" x14ac:dyDescent="0.3">
      <c r="A12" s="1">
        <v>46033</v>
      </c>
      <c r="B12" t="s">
        <v>122</v>
      </c>
      <c r="C12" t="s">
        <v>154</v>
      </c>
      <c r="D12">
        <v>4148</v>
      </c>
    </row>
    <row r="13" spans="1:4" x14ac:dyDescent="0.3">
      <c r="A13" s="1">
        <v>46034</v>
      </c>
      <c r="B13" t="s">
        <v>144</v>
      </c>
      <c r="C13" t="s">
        <v>155</v>
      </c>
      <c r="D13">
        <v>9112</v>
      </c>
    </row>
    <row r="14" spans="1:4" x14ac:dyDescent="0.3">
      <c r="A14" s="1">
        <v>46035</v>
      </c>
      <c r="B14" t="s">
        <v>141</v>
      </c>
      <c r="C14" t="s">
        <v>156</v>
      </c>
      <c r="D14">
        <v>1674</v>
      </c>
    </row>
    <row r="15" spans="1:4" x14ac:dyDescent="0.3">
      <c r="A15" s="1">
        <v>46036</v>
      </c>
      <c r="B15" t="s">
        <v>141</v>
      </c>
      <c r="C15" t="s">
        <v>157</v>
      </c>
      <c r="D15">
        <v>6340</v>
      </c>
    </row>
    <row r="16" spans="1:4" x14ac:dyDescent="0.3">
      <c r="A16" s="1">
        <v>46037</v>
      </c>
      <c r="B16" t="s">
        <v>152</v>
      </c>
      <c r="C16" t="s">
        <v>158</v>
      </c>
      <c r="D16">
        <v>7259</v>
      </c>
    </row>
    <row r="17" spans="1:4" x14ac:dyDescent="0.3">
      <c r="A17" s="1">
        <v>46038</v>
      </c>
      <c r="B17" t="s">
        <v>141</v>
      </c>
      <c r="C17" t="s">
        <v>159</v>
      </c>
      <c r="D17">
        <v>6166</v>
      </c>
    </row>
    <row r="18" spans="1:4" x14ac:dyDescent="0.3">
      <c r="A18" s="1">
        <v>46039</v>
      </c>
      <c r="B18" t="s">
        <v>160</v>
      </c>
      <c r="C18" t="s">
        <v>161</v>
      </c>
      <c r="D18">
        <v>524</v>
      </c>
    </row>
    <row r="19" spans="1:4" x14ac:dyDescent="0.3">
      <c r="A19" s="1">
        <v>46040</v>
      </c>
      <c r="B19" t="s">
        <v>160</v>
      </c>
      <c r="C19" t="s">
        <v>162</v>
      </c>
      <c r="D19">
        <v>6108</v>
      </c>
    </row>
    <row r="20" spans="1:4" x14ac:dyDescent="0.3">
      <c r="A20" s="1">
        <v>46041</v>
      </c>
      <c r="B20" t="s">
        <v>141</v>
      </c>
      <c r="C20" t="s">
        <v>163</v>
      </c>
      <c r="D20">
        <v>8747</v>
      </c>
    </row>
    <row r="21" spans="1:4" x14ac:dyDescent="0.3">
      <c r="A21" s="1">
        <v>46042</v>
      </c>
      <c r="B21" t="s">
        <v>141</v>
      </c>
      <c r="C21" t="s">
        <v>164</v>
      </c>
      <c r="D21">
        <v>5366</v>
      </c>
    </row>
    <row r="22" spans="1:4" x14ac:dyDescent="0.3">
      <c r="A22" s="1">
        <v>46043</v>
      </c>
      <c r="B22" t="s">
        <v>144</v>
      </c>
      <c r="C22" t="s">
        <v>165</v>
      </c>
      <c r="D22">
        <v>721</v>
      </c>
    </row>
    <row r="23" spans="1:4" x14ac:dyDescent="0.3">
      <c r="A23" s="1">
        <v>46044</v>
      </c>
      <c r="B23" t="s">
        <v>152</v>
      </c>
      <c r="C23" t="s">
        <v>166</v>
      </c>
      <c r="D23">
        <v>509</v>
      </c>
    </row>
    <row r="24" spans="1:4" x14ac:dyDescent="0.3">
      <c r="A24" s="1">
        <v>46045</v>
      </c>
      <c r="B24" t="s">
        <v>160</v>
      </c>
      <c r="C24" t="s">
        <v>167</v>
      </c>
      <c r="D24">
        <v>9847</v>
      </c>
    </row>
    <row r="25" spans="1:4" x14ac:dyDescent="0.3">
      <c r="A25" s="1">
        <v>46046</v>
      </c>
      <c r="B25" t="s">
        <v>122</v>
      </c>
      <c r="C25" t="s">
        <v>168</v>
      </c>
      <c r="D25">
        <v>2638</v>
      </c>
    </row>
    <row r="26" spans="1:4" x14ac:dyDescent="0.3">
      <c r="A26" s="1">
        <v>46047</v>
      </c>
      <c r="B26" t="s">
        <v>144</v>
      </c>
      <c r="C26" t="s">
        <v>169</v>
      </c>
      <c r="D26">
        <v>1216</v>
      </c>
    </row>
    <row r="27" spans="1:4" x14ac:dyDescent="0.3">
      <c r="A27" s="1">
        <v>46048</v>
      </c>
      <c r="B27" t="s">
        <v>160</v>
      </c>
      <c r="C27" t="s">
        <v>170</v>
      </c>
      <c r="D27">
        <v>8292</v>
      </c>
    </row>
    <row r="28" spans="1:4" x14ac:dyDescent="0.3">
      <c r="A28" s="1">
        <v>46049</v>
      </c>
      <c r="B28" t="s">
        <v>152</v>
      </c>
      <c r="C28" t="s">
        <v>171</v>
      </c>
      <c r="D28">
        <v>9059</v>
      </c>
    </row>
    <row r="29" spans="1:4" x14ac:dyDescent="0.3">
      <c r="A29" s="1">
        <v>46050</v>
      </c>
      <c r="B29" t="s">
        <v>152</v>
      </c>
      <c r="C29" t="s">
        <v>172</v>
      </c>
      <c r="D29">
        <v>4069</v>
      </c>
    </row>
    <row r="30" spans="1:4" x14ac:dyDescent="0.3">
      <c r="A30" s="1">
        <v>46051</v>
      </c>
      <c r="B30" t="s">
        <v>122</v>
      </c>
      <c r="C30" t="s">
        <v>173</v>
      </c>
      <c r="D30">
        <v>6471</v>
      </c>
    </row>
    <row r="31" spans="1:4" x14ac:dyDescent="0.3">
      <c r="A31" s="1">
        <v>46052</v>
      </c>
      <c r="B31" t="s">
        <v>144</v>
      </c>
      <c r="C31" t="s">
        <v>174</v>
      </c>
      <c r="D31">
        <v>9288</v>
      </c>
    </row>
    <row r="32" spans="1:4" x14ac:dyDescent="0.3">
      <c r="A32" s="1">
        <v>46053</v>
      </c>
      <c r="B32" t="s">
        <v>160</v>
      </c>
      <c r="C32" t="s">
        <v>175</v>
      </c>
      <c r="D32">
        <v>2384</v>
      </c>
    </row>
    <row r="33" spans="1:4" x14ac:dyDescent="0.3">
      <c r="A33" s="1">
        <v>46054</v>
      </c>
      <c r="B33" t="s">
        <v>152</v>
      </c>
      <c r="C33" t="s">
        <v>176</v>
      </c>
      <c r="D33">
        <v>1852</v>
      </c>
    </row>
    <row r="34" spans="1:4" x14ac:dyDescent="0.3">
      <c r="A34" s="1">
        <v>46055</v>
      </c>
      <c r="B34" t="s">
        <v>122</v>
      </c>
      <c r="C34" t="s">
        <v>177</v>
      </c>
      <c r="D34">
        <v>9558</v>
      </c>
    </row>
    <row r="35" spans="1:4" x14ac:dyDescent="0.3">
      <c r="A35" s="1">
        <v>46056</v>
      </c>
      <c r="B35" t="s">
        <v>122</v>
      </c>
      <c r="C35" t="s">
        <v>178</v>
      </c>
      <c r="D35">
        <v>1180</v>
      </c>
    </row>
    <row r="36" spans="1:4" x14ac:dyDescent="0.3">
      <c r="A36" s="1">
        <v>46057</v>
      </c>
      <c r="B36" t="s">
        <v>141</v>
      </c>
      <c r="C36" t="s">
        <v>179</v>
      </c>
      <c r="D36">
        <v>9605</v>
      </c>
    </row>
    <row r="37" spans="1:4" x14ac:dyDescent="0.3">
      <c r="A37" s="1">
        <v>46058</v>
      </c>
      <c r="B37" t="s">
        <v>141</v>
      </c>
      <c r="C37" t="s">
        <v>180</v>
      </c>
      <c r="D37">
        <v>6086</v>
      </c>
    </row>
    <row r="38" spans="1:4" x14ac:dyDescent="0.3">
      <c r="A38" s="1">
        <v>46059</v>
      </c>
      <c r="B38" t="s">
        <v>141</v>
      </c>
      <c r="C38" t="s">
        <v>181</v>
      </c>
      <c r="D38">
        <v>5563</v>
      </c>
    </row>
    <row r="39" spans="1:4" x14ac:dyDescent="0.3">
      <c r="A39" s="1">
        <v>46060</v>
      </c>
      <c r="B39" t="s">
        <v>122</v>
      </c>
      <c r="C39" t="s">
        <v>182</v>
      </c>
      <c r="D39">
        <v>1816</v>
      </c>
    </row>
    <row r="40" spans="1:4" x14ac:dyDescent="0.3">
      <c r="A40" s="1">
        <v>46061</v>
      </c>
      <c r="B40" t="s">
        <v>141</v>
      </c>
      <c r="C40" t="s">
        <v>183</v>
      </c>
      <c r="D40">
        <v>6893</v>
      </c>
    </row>
    <row r="41" spans="1:4" x14ac:dyDescent="0.3">
      <c r="A41" s="1">
        <v>46062</v>
      </c>
      <c r="B41" t="s">
        <v>160</v>
      </c>
      <c r="C41" t="s">
        <v>184</v>
      </c>
      <c r="D41">
        <v>2477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42E2-AB58-4726-AC4F-D32229D2EC48}">
  <sheetPr>
    <tabColor theme="5" tint="0.79998168889431442"/>
  </sheetPr>
  <dimension ref="A1:E22"/>
  <sheetViews>
    <sheetView workbookViewId="0">
      <selection sqref="A1:E1"/>
    </sheetView>
  </sheetViews>
  <sheetFormatPr defaultRowHeight="14.4" x14ac:dyDescent="0.3"/>
  <cols>
    <col min="1" max="1" width="56.21875" bestFit="1" customWidth="1"/>
    <col min="2" max="2" width="17" bestFit="1" customWidth="1"/>
    <col min="3" max="3" width="13.21875" bestFit="1" customWidth="1"/>
    <col min="4" max="4" width="12.109375" bestFit="1" customWidth="1"/>
    <col min="5" max="5" width="9.33203125" bestFit="1" customWidth="1"/>
  </cols>
  <sheetData>
    <row r="1" spans="1:5" ht="30" customHeight="1" x14ac:dyDescent="0.4">
      <c r="A1" s="156" t="s">
        <v>571</v>
      </c>
      <c r="B1" s="153"/>
      <c r="C1" s="153"/>
      <c r="D1" s="153"/>
      <c r="E1" s="153"/>
    </row>
    <row r="2" spans="1:5" x14ac:dyDescent="0.3">
      <c r="A2" s="158" t="s">
        <v>565</v>
      </c>
      <c r="B2" s="153"/>
      <c r="C2" s="153"/>
      <c r="D2" s="153"/>
      <c r="E2" s="153"/>
    </row>
    <row r="4" spans="1:5" ht="25.05" customHeight="1" x14ac:dyDescent="0.3">
      <c r="A4" s="37" t="s">
        <v>140</v>
      </c>
      <c r="B4" s="37" t="s">
        <v>572</v>
      </c>
      <c r="C4" s="37" t="s">
        <v>573</v>
      </c>
      <c r="D4" s="37" t="s">
        <v>574</v>
      </c>
      <c r="E4" s="37" t="s">
        <v>575</v>
      </c>
    </row>
    <row r="5" spans="1:5" x14ac:dyDescent="0.3">
      <c r="A5" s="65" t="s">
        <v>122</v>
      </c>
      <c r="B5" s="66">
        <f>COUNTIF(Expenses!B:B,"Marketing")</f>
        <v>10</v>
      </c>
      <c r="C5" s="66">
        <f>SUMIF(Expenses!B:B,"Marketing",Expenses!D:D)</f>
        <v>47046</v>
      </c>
      <c r="D5" s="67">
        <f>AVERAGEIF(Expenses!B:B,"Marketing",Expenses!D:D)</f>
        <v>4704.6000000000004</v>
      </c>
      <c r="E5" s="68">
        <f>C5/C$10</f>
        <v>0.23376197479826688</v>
      </c>
    </row>
    <row r="6" spans="1:5" x14ac:dyDescent="0.3">
      <c r="A6" s="6" t="s">
        <v>152</v>
      </c>
      <c r="B6" s="34">
        <f>COUNTIF(Expenses!B:B,"Office")</f>
        <v>6</v>
      </c>
      <c r="C6" s="34">
        <f>SUMIF(Expenses!B:B,"Office",Expenses!D:D)</f>
        <v>27138</v>
      </c>
      <c r="D6" s="28">
        <f>AVERAGEIF(Expenses!B:B,"Office",Expenses!D:D)</f>
        <v>4523</v>
      </c>
      <c r="E6" s="62">
        <f>C6/C$10</f>
        <v>0.13484318479945939</v>
      </c>
    </row>
    <row r="7" spans="1:5" x14ac:dyDescent="0.3">
      <c r="A7" s="65" t="s">
        <v>160</v>
      </c>
      <c r="B7" s="66">
        <f>COUNTIF(Expenses!B:B,"Software")</f>
        <v>6</v>
      </c>
      <c r="C7" s="66">
        <f>SUMIF(Expenses!B:B,"Software",Expenses!D:D)</f>
        <v>29632</v>
      </c>
      <c r="D7" s="67">
        <f>AVERAGEIF(Expenses!B:B,"Software",Expenses!D:D)</f>
        <v>4938.666666666667</v>
      </c>
      <c r="E7" s="68">
        <f>C7/C$10</f>
        <v>0.14723536192709782</v>
      </c>
    </row>
    <row r="8" spans="1:5" x14ac:dyDescent="0.3">
      <c r="A8" s="6" t="s">
        <v>141</v>
      </c>
      <c r="B8" s="34">
        <f>COUNTIF(Expenses!B:B,"Travel")</f>
        <v>13</v>
      </c>
      <c r="C8" s="34">
        <f>SUMIF(Expenses!B:B,"Travel",Expenses!D:D)</f>
        <v>74686</v>
      </c>
      <c r="D8" s="28">
        <f>AVERAGEIF(Expenses!B:B,"Travel",Expenses!D:D)</f>
        <v>5745.0769230769229</v>
      </c>
      <c r="E8" s="62">
        <f>C8/C$10</f>
        <v>0.37109949517033031</v>
      </c>
    </row>
    <row r="9" spans="1:5" x14ac:dyDescent="0.3">
      <c r="A9" s="65" t="s">
        <v>144</v>
      </c>
      <c r="B9" s="66">
        <f>COUNTIF(Expenses!B:B,"Utilities")</f>
        <v>5</v>
      </c>
      <c r="C9" s="66">
        <f>SUMIF(Expenses!B:B,"Utilities",Expenses!D:D)</f>
        <v>22754</v>
      </c>
      <c r="D9" s="67">
        <f>AVERAGEIF(Expenses!B:B,"Utilities",Expenses!D:D)</f>
        <v>4550.8</v>
      </c>
      <c r="E9" s="68">
        <f>C9/C$10</f>
        <v>0.11305998330484557</v>
      </c>
    </row>
    <row r="10" spans="1:5" x14ac:dyDescent="0.3">
      <c r="A10" s="38" t="s">
        <v>523</v>
      </c>
      <c r="B10" s="39">
        <f>SUM(B5:B9)</f>
        <v>40</v>
      </c>
      <c r="C10" s="39">
        <f>SUM(C5:C9)</f>
        <v>201256</v>
      </c>
      <c r="D10" s="63">
        <f>AVERAGE(Expenses!D:D)</f>
        <v>5031.3999999999996</v>
      </c>
      <c r="E10" s="64">
        <f>SUM(E5:E9)</f>
        <v>1</v>
      </c>
    </row>
    <row r="12" spans="1:5" ht="18" x14ac:dyDescent="0.35">
      <c r="A12" s="159" t="s">
        <v>576</v>
      </c>
      <c r="B12" s="153"/>
      <c r="C12" s="153"/>
      <c r="D12" s="153"/>
      <c r="E12" s="153"/>
    </row>
    <row r="14" spans="1:5" x14ac:dyDescent="0.3">
      <c r="A14" s="8" t="s">
        <v>577</v>
      </c>
      <c r="B14" s="58" t="str">
        <f>INDEX(A5:A9,MATCH(MAX(C5:C9),C5:C9,0))</f>
        <v>Travel</v>
      </c>
    </row>
    <row r="15" spans="1:5" x14ac:dyDescent="0.3">
      <c r="A15" s="8" t="s">
        <v>578</v>
      </c>
      <c r="B15" s="69">
        <f>MAX(C5:C9)</f>
        <v>74686</v>
      </c>
    </row>
    <row r="16" spans="1:5" x14ac:dyDescent="0.3">
      <c r="A16" s="8" t="s">
        <v>579</v>
      </c>
      <c r="B16" s="70">
        <f>MAX(C5:C9)/C10</f>
        <v>0.37109949517033031</v>
      </c>
    </row>
    <row r="18" spans="1:5" x14ac:dyDescent="0.3">
      <c r="A18" s="160" t="s">
        <v>524</v>
      </c>
      <c r="B18" s="160"/>
      <c r="C18" s="160"/>
      <c r="D18" s="160"/>
      <c r="E18" s="160"/>
    </row>
    <row r="19" spans="1:5" x14ac:dyDescent="0.3">
      <c r="A19" s="8" t="s">
        <v>580</v>
      </c>
    </row>
    <row r="20" spans="1:5" x14ac:dyDescent="0.3">
      <c r="A20" s="8" t="s">
        <v>581</v>
      </c>
    </row>
    <row r="21" spans="1:5" x14ac:dyDescent="0.3">
      <c r="A21" s="8" t="s">
        <v>582</v>
      </c>
    </row>
    <row r="22" spans="1:5" x14ac:dyDescent="0.3">
      <c r="A22" s="8" t="s">
        <v>583</v>
      </c>
    </row>
  </sheetData>
  <mergeCells count="4">
    <mergeCell ref="A1:E1"/>
    <mergeCell ref="A2:E2"/>
    <mergeCell ref="A12:E12"/>
    <mergeCell ref="A18:E18"/>
  </mergeCells>
  <conditionalFormatting sqref="A5:E9">
    <cfRule type="expression" dxfId="21" priority="4">
      <formula>$C5=MAX($C$5:$C$9)</formula>
    </cfRule>
  </conditionalFormatting>
  <conditionalFormatting sqref="B5:B9">
    <cfRule type="dataBar" priority="2">
      <dataBar>
        <cfvo type="min"/>
        <cfvo type="max"/>
        <color rgb="FF5B9BD5"/>
      </dataBar>
      <extLst>
        <ext xmlns:x14="http://schemas.microsoft.com/office/spreadsheetml/2009/9/main" uri="{B025F937-C7B1-47D3-B67F-A62EFF666E3E}">
          <x14:id>{71C2E73C-5E8C-4EC9-8D50-599E2F68466F}</x14:id>
        </ext>
      </extLst>
    </cfRule>
  </conditionalFormatting>
  <conditionalFormatting sqref="C5:C9">
    <cfRule type="colorScale" priority="1">
      <colorScale>
        <cfvo type="min"/>
        <cfvo type="percentile" val="50"/>
        <cfvo type="max"/>
        <color rgb="FFF8696B"/>
        <color rgb="FFFFEB84"/>
        <color rgb="FF63BE7B"/>
      </colorScale>
    </cfRule>
  </conditionalFormatting>
  <conditionalFormatting sqref="E5:E9">
    <cfRule type="iconSet" priority="3">
      <iconSet iconSet="3Arrows">
        <cfvo type="percent" val="0"/>
        <cfvo type="percent" val="33"/>
        <cfvo type="percent" val="67"/>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1C2E73C-5E8C-4EC9-8D50-599E2F68466F}">
            <x14:dataBar minLength="0" maxLength="100" border="1" direction="leftToRight" negativeBarColorSameAsPositive="1" axisPosition="none">
              <x14:cfvo type="min"/>
              <x14:cfvo type="max"/>
              <x14:borderColor rgb="FF5B9BD5"/>
            </x14:dataBar>
          </x14:cfRule>
          <xm:sqref>B5:B9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09AE6-0CA5-4301-8F31-E2FD0D224E23}">
  <sheetPr>
    <tabColor theme="5" tint="0.79998168889431442"/>
  </sheetPr>
  <dimension ref="A1:G44"/>
  <sheetViews>
    <sheetView workbookViewId="0">
      <selection sqref="A1:G1"/>
    </sheetView>
  </sheetViews>
  <sheetFormatPr defaultRowHeight="14.4" x14ac:dyDescent="0.3"/>
  <cols>
    <col min="1" max="1" width="67.109375" bestFit="1" customWidth="1"/>
    <col min="2" max="2" width="17" bestFit="1" customWidth="1"/>
    <col min="3" max="3" width="13.21875" bestFit="1" customWidth="1"/>
    <col min="4" max="4" width="12.109375" bestFit="1" customWidth="1"/>
    <col min="5" max="5" width="12.21875" bestFit="1" customWidth="1"/>
    <col min="6" max="6" width="12.5546875" bestFit="1" customWidth="1"/>
  </cols>
  <sheetData>
    <row r="1" spans="1:7" ht="21" x14ac:dyDescent="0.4">
      <c r="A1" s="161" t="s">
        <v>584</v>
      </c>
      <c r="B1" s="161"/>
      <c r="C1" s="161"/>
      <c r="D1" s="161"/>
      <c r="E1" s="161"/>
      <c r="F1" s="161"/>
      <c r="G1" s="161"/>
    </row>
    <row r="2" spans="1:7" x14ac:dyDescent="0.3">
      <c r="A2" s="162" t="s">
        <v>565</v>
      </c>
      <c r="B2" s="162"/>
      <c r="C2" s="162"/>
      <c r="D2" s="162"/>
      <c r="E2" s="162"/>
      <c r="F2" s="162"/>
      <c r="G2" s="162"/>
    </row>
    <row r="4" spans="1:7" ht="15.6" x14ac:dyDescent="0.3">
      <c r="A4" s="163" t="s">
        <v>585</v>
      </c>
      <c r="B4" s="163"/>
      <c r="C4" s="163"/>
      <c r="D4" s="163"/>
      <c r="E4" s="163"/>
      <c r="F4" s="163"/>
    </row>
    <row r="6" spans="1:7" x14ac:dyDescent="0.3">
      <c r="A6" s="71" t="s">
        <v>586</v>
      </c>
      <c r="B6" s="71" t="s">
        <v>572</v>
      </c>
      <c r="C6" s="71" t="s">
        <v>573</v>
      </c>
      <c r="D6" s="71" t="s">
        <v>574</v>
      </c>
      <c r="E6" s="71" t="s">
        <v>587</v>
      </c>
      <c r="F6" s="71" t="s">
        <v>588</v>
      </c>
    </row>
    <row r="7" spans="1:7" x14ac:dyDescent="0.3">
      <c r="A7" s="72">
        <v>46023</v>
      </c>
      <c r="B7" s="6" cm="1">
        <f t="array" ref="B7">SUMPRODUCT((MONTH(Expenses!A2:A41)=1)*(YEAR(Expenses!A2:A41)=2026)*1)</f>
        <v>31</v>
      </c>
      <c r="C7" s="34" cm="1">
        <f t="array" ref="C7">SUMPRODUCT((MONTH(Expenses!A2:A41)=1)*(YEAR(Expenses!A2:A41)=2026)*Expenses!D2:D41)</f>
        <v>156226</v>
      </c>
      <c r="D7" s="28">
        <f>IF(B7&gt;0,C7/B7,0)</f>
        <v>5039.5483870967746</v>
      </c>
      <c r="E7" s="34">
        <f>_xlfn.MINIFS(Expenses!D2:D41,Expenses!A2:A41,"&gt;="&amp;DATE(2026,1,1),Expenses!A2:A41,"&lt;"&amp;DATE(2026,2,1))</f>
        <v>509</v>
      </c>
      <c r="F7" s="34">
        <f>_xlfn.MAXIFS(Expenses!D2:D41,Expenses!A2:A41,"&gt;="&amp;DATE(2026,1,1),Expenses!A2:A41,"&lt;"&amp;DATE(2026,2,1))</f>
        <v>9847</v>
      </c>
    </row>
    <row r="8" spans="1:7" x14ac:dyDescent="0.3">
      <c r="A8" s="72">
        <v>46054</v>
      </c>
      <c r="B8" s="6" cm="1">
        <f t="array" ref="B8">SUMPRODUCT((MONTH(Expenses!A2:A41)=2)*(YEAR(Expenses!A2:A41)=2026)*1)</f>
        <v>9</v>
      </c>
      <c r="C8" s="34" cm="1">
        <f t="array" ref="C8">SUMPRODUCT((MONTH(Expenses!A2:A41)=2)*(YEAR(Expenses!A2:A41)=2026)*Expenses!D2:D41)</f>
        <v>45030</v>
      </c>
      <c r="D8" s="28">
        <f>IF(B8&gt;0,C8/B8,0)</f>
        <v>5003.333333333333</v>
      </c>
      <c r="E8" s="34">
        <f>_xlfn.MINIFS(Expenses!D2:D41,Expenses!A2:A41,"&gt;="&amp;DATE(2026,2,1),Expenses!A2:A41,"&lt;"&amp;DATE(2026,3,1))</f>
        <v>1180</v>
      </c>
      <c r="F8" s="34">
        <f>_xlfn.MAXIFS(Expenses!D2:D41,Expenses!A2:A41,"&gt;="&amp;DATE(2026,2,1),Expenses!A2:A41,"&lt;"&amp;DATE(2026,3,1))</f>
        <v>9605</v>
      </c>
    </row>
    <row r="9" spans="1:7" x14ac:dyDescent="0.3">
      <c r="A9" s="38" t="s">
        <v>523</v>
      </c>
      <c r="B9" s="38">
        <f>SUM(B7:B8)</f>
        <v>40</v>
      </c>
      <c r="C9" s="39">
        <f>SUM(C7:C8)</f>
        <v>201256</v>
      </c>
      <c r="D9" s="63">
        <f>IF(B9&gt;0,C9/B9,0)</f>
        <v>5031.3999999999996</v>
      </c>
      <c r="E9" s="39">
        <f>MIN(Expenses!D2:D41)</f>
        <v>509</v>
      </c>
      <c r="F9" s="39">
        <f>MAX(Expenses!D2:D41)</f>
        <v>9847</v>
      </c>
    </row>
    <row r="11" spans="1:7" ht="15.6" x14ac:dyDescent="0.3">
      <c r="A11" s="163" t="s">
        <v>589</v>
      </c>
      <c r="B11" s="163"/>
      <c r="C11" s="163"/>
      <c r="D11" s="163"/>
      <c r="E11" s="163"/>
    </row>
    <row r="13" spans="1:7" x14ac:dyDescent="0.3">
      <c r="A13" s="37" t="s">
        <v>140</v>
      </c>
      <c r="B13" s="37" t="s">
        <v>572</v>
      </c>
      <c r="C13" s="37" t="s">
        <v>573</v>
      </c>
      <c r="D13" s="37" t="s">
        <v>574</v>
      </c>
      <c r="E13" s="37" t="s">
        <v>575</v>
      </c>
    </row>
    <row r="14" spans="1:7" x14ac:dyDescent="0.3">
      <c r="A14" s="6" t="s">
        <v>122</v>
      </c>
      <c r="B14" s="6">
        <f>COUNTIF(Expenses!B:B,"Marketing")</f>
        <v>10</v>
      </c>
      <c r="C14" s="34">
        <f>SUMIF(Expenses!B:B,"Marketing",Expenses!D:D)</f>
        <v>47046</v>
      </c>
      <c r="D14" s="28">
        <f>AVERAGEIF(Expenses!B:B,"Marketing",Expenses!D:D)</f>
        <v>4704.6000000000004</v>
      </c>
      <c r="E14" s="62">
        <f>C14/C$19</f>
        <v>0.23376197479826688</v>
      </c>
    </row>
    <row r="15" spans="1:7" x14ac:dyDescent="0.3">
      <c r="A15" s="6" t="s">
        <v>152</v>
      </c>
      <c r="B15" s="6">
        <f>COUNTIF(Expenses!B:B,"Office")</f>
        <v>6</v>
      </c>
      <c r="C15" s="34">
        <f>SUMIF(Expenses!B:B,"Office",Expenses!D:D)</f>
        <v>27138</v>
      </c>
      <c r="D15" s="28">
        <f>AVERAGEIF(Expenses!B:B,"Office",Expenses!D:D)</f>
        <v>4523</v>
      </c>
      <c r="E15" s="62">
        <f>C15/C$19</f>
        <v>0.13484318479945939</v>
      </c>
    </row>
    <row r="16" spans="1:7" x14ac:dyDescent="0.3">
      <c r="A16" s="6" t="s">
        <v>160</v>
      </c>
      <c r="B16" s="6">
        <f>COUNTIF(Expenses!B:B,"Software")</f>
        <v>6</v>
      </c>
      <c r="C16" s="34">
        <f>SUMIF(Expenses!B:B,"Software",Expenses!D:D)</f>
        <v>29632</v>
      </c>
      <c r="D16" s="28">
        <f>AVERAGEIF(Expenses!B:B,"Software",Expenses!D:D)</f>
        <v>4938.666666666667</v>
      </c>
      <c r="E16" s="62">
        <f>C16/C$19</f>
        <v>0.14723536192709782</v>
      </c>
    </row>
    <row r="17" spans="1:6" x14ac:dyDescent="0.3">
      <c r="A17" s="6" t="s">
        <v>141</v>
      </c>
      <c r="B17" s="6">
        <f>COUNTIF(Expenses!B:B,"Travel")</f>
        <v>13</v>
      </c>
      <c r="C17" s="34">
        <f>SUMIF(Expenses!B:B,"Travel",Expenses!D:D)</f>
        <v>74686</v>
      </c>
      <c r="D17" s="28">
        <f>AVERAGEIF(Expenses!B:B,"Travel",Expenses!D:D)</f>
        <v>5745.0769230769229</v>
      </c>
      <c r="E17" s="62">
        <f>C17/C$19</f>
        <v>0.37109949517033031</v>
      </c>
    </row>
    <row r="18" spans="1:6" x14ac:dyDescent="0.3">
      <c r="A18" s="6" t="s">
        <v>144</v>
      </c>
      <c r="B18" s="6">
        <f>COUNTIF(Expenses!B:B,"Utilities")</f>
        <v>5</v>
      </c>
      <c r="C18" s="34">
        <f>SUMIF(Expenses!B:B,"Utilities",Expenses!D:D)</f>
        <v>22754</v>
      </c>
      <c r="D18" s="28">
        <f>AVERAGEIF(Expenses!B:B,"Utilities",Expenses!D:D)</f>
        <v>4550.8</v>
      </c>
      <c r="E18" s="62">
        <f>C18/C$19</f>
        <v>0.11305998330484557</v>
      </c>
    </row>
    <row r="19" spans="1:6" x14ac:dyDescent="0.3">
      <c r="A19" s="38" t="s">
        <v>523</v>
      </c>
      <c r="B19" s="38">
        <f>SUM(B14:B18)</f>
        <v>40</v>
      </c>
      <c r="C19" s="39">
        <f>SUM(C14:C18)</f>
        <v>201256</v>
      </c>
      <c r="D19" s="63">
        <f>IF(B19&gt;0,C19/B19,0)</f>
        <v>5031.3999999999996</v>
      </c>
      <c r="E19" s="64">
        <v>1</v>
      </c>
    </row>
    <row r="21" spans="1:6" ht="15.6" x14ac:dyDescent="0.3">
      <c r="A21" s="163" t="s">
        <v>576</v>
      </c>
      <c r="B21" s="163"/>
      <c r="C21" s="163"/>
      <c r="D21" s="163"/>
    </row>
    <row r="23" spans="1:6" ht="15.6" x14ac:dyDescent="0.3">
      <c r="A23" s="73" t="s">
        <v>577</v>
      </c>
      <c r="B23" s="76" t="str">
        <f>INDEX(A14:A18,MATCH(MAX(C14:C18),C14:C18,0))</f>
        <v>Travel</v>
      </c>
    </row>
    <row r="24" spans="1:6" x14ac:dyDescent="0.3">
      <c r="A24" s="74" t="s">
        <v>578</v>
      </c>
      <c r="B24" s="77">
        <f>MAX(C14:C18)</f>
        <v>74686</v>
      </c>
    </row>
    <row r="25" spans="1:6" x14ac:dyDescent="0.3">
      <c r="A25" s="74" t="s">
        <v>590</v>
      </c>
      <c r="B25" s="78">
        <f>INDEX(B14:B18,MATCH(MAX(C14:C18),C14:C18,0))</f>
        <v>13</v>
      </c>
    </row>
    <row r="26" spans="1:6" x14ac:dyDescent="0.3">
      <c r="A26" s="74" t="s">
        <v>579</v>
      </c>
      <c r="B26" s="79">
        <f>MAX(C14:C18)/C19</f>
        <v>0.37109949517033031</v>
      </c>
    </row>
    <row r="27" spans="1:6" x14ac:dyDescent="0.3">
      <c r="A27" s="75" t="s">
        <v>591</v>
      </c>
      <c r="B27" s="80">
        <f>INDEX(D14:D18,MATCH(MAX(C14:C18),C14:C18,0))</f>
        <v>5745.0769230769229</v>
      </c>
    </row>
    <row r="29" spans="1:6" ht="15.6" x14ac:dyDescent="0.3">
      <c r="A29" s="164" t="s">
        <v>592</v>
      </c>
      <c r="B29" s="164"/>
      <c r="C29" s="164"/>
      <c r="D29" s="164"/>
      <c r="E29" s="164"/>
      <c r="F29" s="164"/>
    </row>
    <row r="31" spans="1:6" x14ac:dyDescent="0.3">
      <c r="A31" s="81" t="s">
        <v>140</v>
      </c>
      <c r="B31" s="81" t="s">
        <v>593</v>
      </c>
      <c r="C31" s="81" t="s">
        <v>594</v>
      </c>
      <c r="D31" s="81" t="s">
        <v>595</v>
      </c>
      <c r="E31" s="81" t="s">
        <v>596</v>
      </c>
      <c r="F31" s="81" t="s">
        <v>597</v>
      </c>
    </row>
    <row r="32" spans="1:6" x14ac:dyDescent="0.3">
      <c r="A32" s="6" t="s">
        <v>122</v>
      </c>
      <c r="B32" s="6" cm="1">
        <f t="array" ref="B32">SUMPRODUCT((Expenses!B2:B41="Marketing")*(MONTH(Expenses!A2:A41)=1)*(YEAR(Expenses!A2:A41)=2026)*1)</f>
        <v>7</v>
      </c>
      <c r="C32" s="34" cm="1">
        <f t="array" ref="C32">SUMPRODUCT((Expenses!B2:B41="Marketing")*(MONTH(Expenses!A2:A41)=1)*(YEAR(Expenses!A2:A41)=2026)*Expenses!D2:D41)</f>
        <v>34492</v>
      </c>
      <c r="D32" s="6" cm="1">
        <f t="array" ref="D32">SUMPRODUCT((Expenses!B2:B41="Marketing")*(MONTH(Expenses!A2:A41)=2)*(YEAR(Expenses!A2:A41)=2026)*1)</f>
        <v>3</v>
      </c>
      <c r="E32" s="34" cm="1">
        <f t="array" ref="E32">SUMPRODUCT((Expenses!B2:B41="Marketing")*(MONTH(Expenses!A2:A41)=2)*(YEAR(Expenses!A2:A41)=2026)*Expenses!D2:D41)</f>
        <v>12554</v>
      </c>
      <c r="F32" s="34">
        <f>C32+E32</f>
        <v>47046</v>
      </c>
    </row>
    <row r="33" spans="1:6" x14ac:dyDescent="0.3">
      <c r="A33" s="6" t="s">
        <v>152</v>
      </c>
      <c r="B33" s="6" cm="1">
        <f t="array" ref="B33">SUMPRODUCT((Expenses!B2:B41="Office")*(MONTH(Expenses!A2:A41)=1)*(YEAR(Expenses!A2:A41)=2026)*1)</f>
        <v>5</v>
      </c>
      <c r="C33" s="34" cm="1">
        <f t="array" ref="C33">SUMPRODUCT((Expenses!B2:B41="Office")*(MONTH(Expenses!A2:A41)=1)*(YEAR(Expenses!A2:A41)=2026)*Expenses!D2:D41)</f>
        <v>25286</v>
      </c>
      <c r="D33" s="6" cm="1">
        <f t="array" ref="D33">SUMPRODUCT((Expenses!B2:B41="Office")*(MONTH(Expenses!A2:A41)=2)*(YEAR(Expenses!A2:A41)=2026)*1)</f>
        <v>1</v>
      </c>
      <c r="E33" s="34" cm="1">
        <f t="array" ref="E33">SUMPRODUCT((Expenses!B2:B41="Office")*(MONTH(Expenses!A2:A41)=2)*(YEAR(Expenses!A2:A41)=2026)*Expenses!D2:D41)</f>
        <v>1852</v>
      </c>
      <c r="F33" s="34">
        <f>C33+E33</f>
        <v>27138</v>
      </c>
    </row>
    <row r="34" spans="1:6" x14ac:dyDescent="0.3">
      <c r="A34" s="6" t="s">
        <v>160</v>
      </c>
      <c r="B34" s="6" cm="1">
        <f t="array" ref="B34">SUMPRODUCT((Expenses!B2:B41="Software")*(MONTH(Expenses!A2:A41)=1)*(YEAR(Expenses!A2:A41)=2026)*1)</f>
        <v>5</v>
      </c>
      <c r="C34" s="34" cm="1">
        <f t="array" ref="C34">SUMPRODUCT((Expenses!B2:B41="Software")*(MONTH(Expenses!A2:A41)=1)*(YEAR(Expenses!A2:A41)=2026)*Expenses!D2:D41)</f>
        <v>27155</v>
      </c>
      <c r="D34" s="6" cm="1">
        <f t="array" ref="D34">SUMPRODUCT((Expenses!B2:B41="Software")*(MONTH(Expenses!A2:A41)=2)*(YEAR(Expenses!A2:A41)=2026)*1)</f>
        <v>1</v>
      </c>
      <c r="E34" s="34" cm="1">
        <f t="array" ref="E34">SUMPRODUCT((Expenses!B2:B41="Software")*(MONTH(Expenses!A2:A41)=2)*(YEAR(Expenses!A2:A41)=2026)*Expenses!D2:D41)</f>
        <v>2477</v>
      </c>
      <c r="F34" s="34">
        <f>C34+E34</f>
        <v>29632</v>
      </c>
    </row>
    <row r="35" spans="1:6" x14ac:dyDescent="0.3">
      <c r="A35" s="6" t="s">
        <v>141</v>
      </c>
      <c r="B35" s="6" cm="1">
        <f t="array" ref="B35">SUMPRODUCT((Expenses!B2:B41="Travel")*(MONTH(Expenses!A2:A41)=1)*(YEAR(Expenses!A2:A41)=2026)*1)</f>
        <v>9</v>
      </c>
      <c r="C35" s="34" cm="1">
        <f t="array" ref="C35">SUMPRODUCT((Expenses!B2:B41="Travel")*(MONTH(Expenses!A2:A41)=1)*(YEAR(Expenses!A2:A41)=2026)*Expenses!D2:D41)</f>
        <v>46539</v>
      </c>
      <c r="D35" s="6" cm="1">
        <f t="array" ref="D35">SUMPRODUCT((Expenses!B2:B41="Travel")*(MONTH(Expenses!A2:A41)=2)*(YEAR(Expenses!A2:A41)=2026)*1)</f>
        <v>4</v>
      </c>
      <c r="E35" s="34" cm="1">
        <f t="array" ref="E35">SUMPRODUCT((Expenses!B2:B41="Travel")*(MONTH(Expenses!A2:A41)=2)*(YEAR(Expenses!A2:A41)=2026)*Expenses!D2:D41)</f>
        <v>28147</v>
      </c>
      <c r="F35" s="34">
        <f>C35+E35</f>
        <v>74686</v>
      </c>
    </row>
    <row r="36" spans="1:6" x14ac:dyDescent="0.3">
      <c r="A36" s="6" t="s">
        <v>144</v>
      </c>
      <c r="B36" s="6" cm="1">
        <f t="array" ref="B36">SUMPRODUCT((Expenses!B2:B41="Utilities")*(MONTH(Expenses!A2:A41)=1)*(YEAR(Expenses!A2:A41)=2026)*1)</f>
        <v>5</v>
      </c>
      <c r="C36" s="34" cm="1">
        <f t="array" ref="C36">SUMPRODUCT((Expenses!B2:B41="Utilities")*(MONTH(Expenses!A2:A41)=1)*(YEAR(Expenses!A2:A41)=2026)*Expenses!D2:D41)</f>
        <v>22754</v>
      </c>
      <c r="D36" s="6" cm="1">
        <f t="array" ref="D36">SUMPRODUCT((Expenses!B2:B41="Utilities")*(MONTH(Expenses!A2:A41)=2)*(YEAR(Expenses!A2:A41)=2026)*1)</f>
        <v>0</v>
      </c>
      <c r="E36" s="34" cm="1">
        <f t="array" ref="E36">SUMPRODUCT((Expenses!B2:B41="Utilities")*(MONTH(Expenses!A2:A41)=2)*(YEAR(Expenses!A2:A41)=2026)*Expenses!D2:D41)</f>
        <v>0</v>
      </c>
      <c r="F36" s="34">
        <f>C36+E36</f>
        <v>22754</v>
      </c>
    </row>
    <row r="37" spans="1:6" x14ac:dyDescent="0.3">
      <c r="A37" s="38" t="s">
        <v>598</v>
      </c>
      <c r="B37" s="38">
        <f>SUM(B32:B36)</f>
        <v>31</v>
      </c>
      <c r="C37" s="39">
        <f>SUM(C32:C36)</f>
        <v>156226</v>
      </c>
      <c r="D37" s="38">
        <f>SUM(D32:D36)</f>
        <v>9</v>
      </c>
      <c r="E37" s="39">
        <f>SUM(E32:E36)</f>
        <v>45030</v>
      </c>
      <c r="F37" s="39">
        <f>SUM(F32:F36)</f>
        <v>201256</v>
      </c>
    </row>
    <row r="39" spans="1:6" x14ac:dyDescent="0.3">
      <c r="A39" s="160" t="s">
        <v>524</v>
      </c>
      <c r="B39" s="160"/>
      <c r="C39" s="160"/>
      <c r="D39" s="160"/>
      <c r="E39" s="160"/>
    </row>
    <row r="40" spans="1:6" x14ac:dyDescent="0.3">
      <c r="A40" t="s">
        <v>599</v>
      </c>
    </row>
    <row r="41" spans="1:6" x14ac:dyDescent="0.3">
      <c r="A41" t="s">
        <v>581</v>
      </c>
    </row>
    <row r="42" spans="1:6" x14ac:dyDescent="0.3">
      <c r="A42" t="s">
        <v>582</v>
      </c>
    </row>
    <row r="43" spans="1:6" x14ac:dyDescent="0.3">
      <c r="A43" t="s">
        <v>600</v>
      </c>
    </row>
    <row r="44" spans="1:6" x14ac:dyDescent="0.3">
      <c r="A44" t="s">
        <v>601</v>
      </c>
    </row>
  </sheetData>
  <mergeCells count="7">
    <mergeCell ref="A39:E39"/>
    <mergeCell ref="A1:G1"/>
    <mergeCell ref="A2:G2"/>
    <mergeCell ref="A4:F4"/>
    <mergeCell ref="A11:E11"/>
    <mergeCell ref="A21:D21"/>
    <mergeCell ref="A29:F29"/>
  </mergeCells>
  <conditionalFormatting sqref="A14:E18">
    <cfRule type="expression" dxfId="20" priority="6">
      <formula>$C14=MAX($C$14:$C$18)</formula>
    </cfRule>
  </conditionalFormatting>
  <conditionalFormatting sqref="B14:B18">
    <cfRule type="dataBar" priority="2">
      <dataBar>
        <cfvo type="min"/>
        <cfvo type="max"/>
        <color rgb="FF5B9BD5"/>
      </dataBar>
      <extLst>
        <ext xmlns:x14="http://schemas.microsoft.com/office/spreadsheetml/2009/9/main" uri="{B025F937-C7B1-47D3-B67F-A62EFF666E3E}">
          <x14:id>{D855F01C-D6CA-4911-B070-7D01907CF858}</x14:id>
        </ext>
      </extLst>
    </cfRule>
  </conditionalFormatting>
  <conditionalFormatting sqref="C7:C8">
    <cfRule type="colorScale" priority="7">
      <colorScale>
        <cfvo type="min"/>
        <cfvo type="max"/>
        <color rgb="FFF8696B"/>
        <color rgb="FF63BE7B"/>
      </colorScale>
    </cfRule>
  </conditionalFormatting>
  <conditionalFormatting sqref="C14:C18">
    <cfRule type="colorScale" priority="1">
      <colorScale>
        <cfvo type="min"/>
        <cfvo type="percentile" val="50"/>
        <cfvo type="max"/>
        <color rgb="FFF8696B"/>
        <color rgb="FFFFEB84"/>
        <color rgb="FF63BE7B"/>
      </colorScale>
    </cfRule>
  </conditionalFormatting>
  <conditionalFormatting sqref="C32:C36">
    <cfRule type="colorScale" priority="4">
      <colorScale>
        <cfvo type="min"/>
        <cfvo type="max"/>
        <color rgb="FFFCE4D6"/>
        <color rgb="FFC65911"/>
      </colorScale>
    </cfRule>
  </conditionalFormatting>
  <conditionalFormatting sqref="E14:E18">
    <cfRule type="iconSet" priority="3">
      <iconSet iconSet="3Arrows">
        <cfvo type="percent" val="0"/>
        <cfvo type="percent" val="33"/>
        <cfvo type="percent" val="67"/>
      </iconSet>
    </cfRule>
  </conditionalFormatting>
  <conditionalFormatting sqref="E32:E36">
    <cfRule type="colorScale" priority="5">
      <colorScale>
        <cfvo type="min"/>
        <cfvo type="max"/>
        <color rgb="FFDDEBF7"/>
        <color rgb="FF2F75B5"/>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855F01C-D6CA-4911-B070-7D01907CF858}">
            <x14:dataBar minLength="0" maxLength="100" border="1" direction="leftToRight" negativeBarColorSameAsPositive="1" axisPosition="none">
              <x14:cfvo type="min"/>
              <x14:cfvo type="max"/>
              <x14:borderColor rgb="FF5B9BD5"/>
            </x14:dataBar>
          </x14:cfRule>
          <xm:sqref>B14:B18</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79998168889431442"/>
  </sheetPr>
  <dimension ref="A1:F41"/>
  <sheetViews>
    <sheetView workbookViewId="0"/>
  </sheetViews>
  <sheetFormatPr defaultRowHeight="14.4" x14ac:dyDescent="0.3"/>
  <cols>
    <col min="1" max="5" width="15.33203125" customWidth="1"/>
    <col min="6" max="6" width="12.88671875" bestFit="1" customWidth="1"/>
  </cols>
  <sheetData>
    <row r="1" spans="1:6" x14ac:dyDescent="0.3">
      <c r="A1" t="s">
        <v>185</v>
      </c>
      <c r="B1" t="s">
        <v>186</v>
      </c>
      <c r="C1" t="s">
        <v>187</v>
      </c>
      <c r="D1" t="s">
        <v>188</v>
      </c>
      <c r="E1" t="s">
        <v>189</v>
      </c>
      <c r="F1" s="12" t="s">
        <v>602</v>
      </c>
    </row>
    <row r="2" spans="1:6" x14ac:dyDescent="0.3">
      <c r="A2">
        <v>300</v>
      </c>
      <c r="B2" t="s">
        <v>190</v>
      </c>
      <c r="C2">
        <v>35</v>
      </c>
      <c r="D2">
        <v>9</v>
      </c>
      <c r="E2" t="s">
        <v>191</v>
      </c>
      <c r="F2" t="str">
        <f t="shared" ref="F2:F41" si="0">IF(C2&lt;D2,"⚠️ Low Stock","✓ OK")</f>
        <v>✓ OK</v>
      </c>
    </row>
    <row r="3" spans="1:6" x14ac:dyDescent="0.3">
      <c r="A3">
        <v>301</v>
      </c>
      <c r="B3" t="s">
        <v>192</v>
      </c>
      <c r="C3">
        <v>39</v>
      </c>
      <c r="D3">
        <v>10</v>
      </c>
      <c r="E3" t="s">
        <v>193</v>
      </c>
      <c r="F3" t="str">
        <f t="shared" si="0"/>
        <v>✓ OK</v>
      </c>
    </row>
    <row r="4" spans="1:6" x14ac:dyDescent="0.3">
      <c r="A4">
        <v>302</v>
      </c>
      <c r="B4" t="s">
        <v>194</v>
      </c>
      <c r="C4">
        <v>22</v>
      </c>
      <c r="D4">
        <v>9</v>
      </c>
      <c r="E4" t="s">
        <v>195</v>
      </c>
      <c r="F4" t="str">
        <f t="shared" si="0"/>
        <v>✓ OK</v>
      </c>
    </row>
    <row r="5" spans="1:6" x14ac:dyDescent="0.3">
      <c r="A5">
        <v>303</v>
      </c>
      <c r="B5" t="s">
        <v>196</v>
      </c>
      <c r="C5">
        <v>9</v>
      </c>
      <c r="D5">
        <v>14</v>
      </c>
      <c r="E5" t="s">
        <v>197</v>
      </c>
      <c r="F5" t="str">
        <f t="shared" si="0"/>
        <v>⚠️ Low Stock</v>
      </c>
    </row>
    <row r="6" spans="1:6" x14ac:dyDescent="0.3">
      <c r="A6">
        <v>304</v>
      </c>
      <c r="B6" t="s">
        <v>198</v>
      </c>
      <c r="C6">
        <v>5</v>
      </c>
      <c r="D6">
        <v>7</v>
      </c>
      <c r="E6" t="s">
        <v>199</v>
      </c>
      <c r="F6" t="str">
        <f t="shared" si="0"/>
        <v>⚠️ Low Stock</v>
      </c>
    </row>
    <row r="7" spans="1:6" x14ac:dyDescent="0.3">
      <c r="A7">
        <v>305</v>
      </c>
      <c r="B7" t="s">
        <v>200</v>
      </c>
      <c r="C7">
        <v>2</v>
      </c>
      <c r="D7">
        <v>14</v>
      </c>
      <c r="E7" t="s">
        <v>191</v>
      </c>
      <c r="F7" t="str">
        <f t="shared" si="0"/>
        <v>⚠️ Low Stock</v>
      </c>
    </row>
    <row r="8" spans="1:6" x14ac:dyDescent="0.3">
      <c r="A8">
        <v>306</v>
      </c>
      <c r="B8" t="s">
        <v>201</v>
      </c>
      <c r="C8">
        <v>33</v>
      </c>
      <c r="D8">
        <v>7</v>
      </c>
      <c r="E8" t="s">
        <v>197</v>
      </c>
      <c r="F8" t="str">
        <f t="shared" si="0"/>
        <v>✓ OK</v>
      </c>
    </row>
    <row r="9" spans="1:6" x14ac:dyDescent="0.3">
      <c r="A9">
        <v>307</v>
      </c>
      <c r="B9" t="s">
        <v>202</v>
      </c>
      <c r="C9">
        <v>13</v>
      </c>
      <c r="D9">
        <v>7</v>
      </c>
      <c r="E9" t="s">
        <v>197</v>
      </c>
      <c r="F9" t="str">
        <f t="shared" si="0"/>
        <v>✓ OK</v>
      </c>
    </row>
    <row r="10" spans="1:6" x14ac:dyDescent="0.3">
      <c r="A10">
        <v>308</v>
      </c>
      <c r="B10" t="s">
        <v>203</v>
      </c>
      <c r="C10">
        <v>39</v>
      </c>
      <c r="D10">
        <v>10</v>
      </c>
      <c r="E10" t="s">
        <v>193</v>
      </c>
      <c r="F10" t="str">
        <f t="shared" si="0"/>
        <v>✓ OK</v>
      </c>
    </row>
    <row r="11" spans="1:6" x14ac:dyDescent="0.3">
      <c r="A11">
        <v>309</v>
      </c>
      <c r="B11" t="s">
        <v>204</v>
      </c>
      <c r="C11">
        <v>28</v>
      </c>
      <c r="D11">
        <v>6</v>
      </c>
      <c r="E11" t="s">
        <v>199</v>
      </c>
      <c r="F11" t="str">
        <f t="shared" si="0"/>
        <v>✓ OK</v>
      </c>
    </row>
    <row r="12" spans="1:6" x14ac:dyDescent="0.3">
      <c r="A12">
        <v>310</v>
      </c>
      <c r="B12" t="s">
        <v>205</v>
      </c>
      <c r="C12">
        <v>7</v>
      </c>
      <c r="D12">
        <v>12</v>
      </c>
      <c r="E12" t="s">
        <v>193</v>
      </c>
      <c r="F12" t="str">
        <f t="shared" si="0"/>
        <v>⚠️ Low Stock</v>
      </c>
    </row>
    <row r="13" spans="1:6" x14ac:dyDescent="0.3">
      <c r="A13">
        <v>311</v>
      </c>
      <c r="B13" t="s">
        <v>206</v>
      </c>
      <c r="C13">
        <v>40</v>
      </c>
      <c r="D13">
        <v>11</v>
      </c>
      <c r="E13" t="s">
        <v>195</v>
      </c>
      <c r="F13" t="str">
        <f t="shared" si="0"/>
        <v>✓ OK</v>
      </c>
    </row>
    <row r="14" spans="1:6" x14ac:dyDescent="0.3">
      <c r="A14">
        <v>312</v>
      </c>
      <c r="B14" t="s">
        <v>207</v>
      </c>
      <c r="C14">
        <v>12</v>
      </c>
      <c r="D14">
        <v>9</v>
      </c>
      <c r="E14" t="s">
        <v>197</v>
      </c>
      <c r="F14" t="str">
        <f t="shared" si="0"/>
        <v>✓ OK</v>
      </c>
    </row>
    <row r="15" spans="1:6" x14ac:dyDescent="0.3">
      <c r="A15">
        <v>313</v>
      </c>
      <c r="B15" t="s">
        <v>208</v>
      </c>
      <c r="C15">
        <v>8</v>
      </c>
      <c r="D15">
        <v>14</v>
      </c>
      <c r="E15" t="s">
        <v>193</v>
      </c>
      <c r="F15" t="str">
        <f t="shared" si="0"/>
        <v>⚠️ Low Stock</v>
      </c>
    </row>
    <row r="16" spans="1:6" x14ac:dyDescent="0.3">
      <c r="A16">
        <v>314</v>
      </c>
      <c r="B16" t="s">
        <v>209</v>
      </c>
      <c r="C16">
        <v>2</v>
      </c>
      <c r="D16">
        <v>14</v>
      </c>
      <c r="E16" t="s">
        <v>195</v>
      </c>
      <c r="F16" t="str">
        <f t="shared" si="0"/>
        <v>⚠️ Low Stock</v>
      </c>
    </row>
    <row r="17" spans="1:6" x14ac:dyDescent="0.3">
      <c r="A17">
        <v>315</v>
      </c>
      <c r="B17" t="s">
        <v>210</v>
      </c>
      <c r="C17">
        <v>11</v>
      </c>
      <c r="D17">
        <v>8</v>
      </c>
      <c r="E17" t="s">
        <v>199</v>
      </c>
      <c r="F17" t="str">
        <f t="shared" si="0"/>
        <v>✓ OK</v>
      </c>
    </row>
    <row r="18" spans="1:6" x14ac:dyDescent="0.3">
      <c r="A18">
        <v>316</v>
      </c>
      <c r="B18" t="s">
        <v>211</v>
      </c>
      <c r="C18">
        <v>10</v>
      </c>
      <c r="D18">
        <v>10</v>
      </c>
      <c r="E18" t="s">
        <v>193</v>
      </c>
      <c r="F18" t="str">
        <f t="shared" si="0"/>
        <v>✓ OK</v>
      </c>
    </row>
    <row r="19" spans="1:6" x14ac:dyDescent="0.3">
      <c r="A19">
        <v>317</v>
      </c>
      <c r="B19" t="s">
        <v>212</v>
      </c>
      <c r="C19">
        <v>3</v>
      </c>
      <c r="D19">
        <v>13</v>
      </c>
      <c r="E19" t="s">
        <v>199</v>
      </c>
      <c r="F19" t="str">
        <f t="shared" si="0"/>
        <v>⚠️ Low Stock</v>
      </c>
    </row>
    <row r="20" spans="1:6" x14ac:dyDescent="0.3">
      <c r="A20">
        <v>318</v>
      </c>
      <c r="B20" t="s">
        <v>213</v>
      </c>
      <c r="C20">
        <v>29</v>
      </c>
      <c r="D20">
        <v>6</v>
      </c>
      <c r="E20" t="s">
        <v>214</v>
      </c>
      <c r="F20" t="str">
        <f t="shared" si="0"/>
        <v>✓ OK</v>
      </c>
    </row>
    <row r="21" spans="1:6" x14ac:dyDescent="0.3">
      <c r="A21">
        <v>319</v>
      </c>
      <c r="B21" t="s">
        <v>215</v>
      </c>
      <c r="C21">
        <v>10</v>
      </c>
      <c r="D21">
        <v>10</v>
      </c>
      <c r="E21" t="s">
        <v>193</v>
      </c>
      <c r="F21" t="str">
        <f t="shared" si="0"/>
        <v>✓ OK</v>
      </c>
    </row>
    <row r="22" spans="1:6" x14ac:dyDescent="0.3">
      <c r="A22">
        <v>320</v>
      </c>
      <c r="B22" t="s">
        <v>216</v>
      </c>
      <c r="C22">
        <v>20</v>
      </c>
      <c r="D22">
        <v>12</v>
      </c>
      <c r="E22" t="s">
        <v>197</v>
      </c>
      <c r="F22" t="str">
        <f t="shared" si="0"/>
        <v>✓ OK</v>
      </c>
    </row>
    <row r="23" spans="1:6" x14ac:dyDescent="0.3">
      <c r="A23">
        <v>321</v>
      </c>
      <c r="B23" t="s">
        <v>217</v>
      </c>
      <c r="C23">
        <v>13</v>
      </c>
      <c r="D23">
        <v>9</v>
      </c>
      <c r="E23" t="s">
        <v>197</v>
      </c>
      <c r="F23" t="str">
        <f t="shared" si="0"/>
        <v>✓ OK</v>
      </c>
    </row>
    <row r="24" spans="1:6" x14ac:dyDescent="0.3">
      <c r="A24">
        <v>322</v>
      </c>
      <c r="B24" t="s">
        <v>218</v>
      </c>
      <c r="C24">
        <v>45</v>
      </c>
      <c r="D24">
        <v>8</v>
      </c>
      <c r="E24" t="s">
        <v>197</v>
      </c>
      <c r="F24" t="str">
        <f t="shared" si="0"/>
        <v>✓ OK</v>
      </c>
    </row>
    <row r="25" spans="1:6" x14ac:dyDescent="0.3">
      <c r="A25">
        <v>323</v>
      </c>
      <c r="B25" t="s">
        <v>219</v>
      </c>
      <c r="C25">
        <v>42</v>
      </c>
      <c r="D25">
        <v>12</v>
      </c>
      <c r="E25" t="s">
        <v>193</v>
      </c>
      <c r="F25" t="str">
        <f t="shared" si="0"/>
        <v>✓ OK</v>
      </c>
    </row>
    <row r="26" spans="1:6" x14ac:dyDescent="0.3">
      <c r="A26">
        <v>324</v>
      </c>
      <c r="B26" t="s">
        <v>220</v>
      </c>
      <c r="C26">
        <v>7</v>
      </c>
      <c r="D26">
        <v>8</v>
      </c>
      <c r="E26" t="s">
        <v>191</v>
      </c>
      <c r="F26" t="str">
        <f t="shared" si="0"/>
        <v>⚠️ Low Stock</v>
      </c>
    </row>
    <row r="27" spans="1:6" x14ac:dyDescent="0.3">
      <c r="A27">
        <v>325</v>
      </c>
      <c r="B27" t="s">
        <v>221</v>
      </c>
      <c r="C27">
        <v>16</v>
      </c>
      <c r="D27">
        <v>6</v>
      </c>
      <c r="E27" t="s">
        <v>195</v>
      </c>
      <c r="F27" t="str">
        <f t="shared" si="0"/>
        <v>✓ OK</v>
      </c>
    </row>
    <row r="28" spans="1:6" x14ac:dyDescent="0.3">
      <c r="A28">
        <v>326</v>
      </c>
      <c r="B28" t="s">
        <v>222</v>
      </c>
      <c r="C28">
        <v>21</v>
      </c>
      <c r="D28">
        <v>15</v>
      </c>
      <c r="E28" t="s">
        <v>193</v>
      </c>
      <c r="F28" t="str">
        <f t="shared" si="0"/>
        <v>✓ OK</v>
      </c>
    </row>
    <row r="29" spans="1:6" x14ac:dyDescent="0.3">
      <c r="A29">
        <v>327</v>
      </c>
      <c r="B29" t="s">
        <v>223</v>
      </c>
      <c r="C29">
        <v>34</v>
      </c>
      <c r="D29">
        <v>5</v>
      </c>
      <c r="E29" t="s">
        <v>193</v>
      </c>
      <c r="F29" t="str">
        <f t="shared" si="0"/>
        <v>✓ OK</v>
      </c>
    </row>
    <row r="30" spans="1:6" x14ac:dyDescent="0.3">
      <c r="A30">
        <v>328</v>
      </c>
      <c r="B30" t="s">
        <v>224</v>
      </c>
      <c r="C30">
        <v>47</v>
      </c>
      <c r="D30">
        <v>14</v>
      </c>
      <c r="E30" t="s">
        <v>193</v>
      </c>
      <c r="F30" t="str">
        <f t="shared" si="0"/>
        <v>✓ OK</v>
      </c>
    </row>
    <row r="31" spans="1:6" x14ac:dyDescent="0.3">
      <c r="A31">
        <v>329</v>
      </c>
      <c r="B31" t="s">
        <v>225</v>
      </c>
      <c r="C31">
        <v>10</v>
      </c>
      <c r="D31">
        <v>15</v>
      </c>
      <c r="E31" t="s">
        <v>195</v>
      </c>
      <c r="F31" t="str">
        <f t="shared" si="0"/>
        <v>⚠️ Low Stock</v>
      </c>
    </row>
    <row r="32" spans="1:6" x14ac:dyDescent="0.3">
      <c r="A32">
        <v>330</v>
      </c>
      <c r="B32" t="s">
        <v>226</v>
      </c>
      <c r="C32">
        <v>18</v>
      </c>
      <c r="D32">
        <v>7</v>
      </c>
      <c r="E32" t="s">
        <v>195</v>
      </c>
      <c r="F32" t="str">
        <f t="shared" si="0"/>
        <v>✓ OK</v>
      </c>
    </row>
    <row r="33" spans="1:6" x14ac:dyDescent="0.3">
      <c r="A33">
        <v>331</v>
      </c>
      <c r="B33" t="s">
        <v>227</v>
      </c>
      <c r="C33">
        <v>4</v>
      </c>
      <c r="D33">
        <v>6</v>
      </c>
      <c r="E33" t="s">
        <v>195</v>
      </c>
      <c r="F33" t="str">
        <f t="shared" si="0"/>
        <v>⚠️ Low Stock</v>
      </c>
    </row>
    <row r="34" spans="1:6" x14ac:dyDescent="0.3">
      <c r="A34">
        <v>332</v>
      </c>
      <c r="B34" t="s">
        <v>228</v>
      </c>
      <c r="C34">
        <v>26</v>
      </c>
      <c r="D34">
        <v>5</v>
      </c>
      <c r="E34" t="s">
        <v>214</v>
      </c>
      <c r="F34" t="str">
        <f t="shared" si="0"/>
        <v>✓ OK</v>
      </c>
    </row>
    <row r="35" spans="1:6" x14ac:dyDescent="0.3">
      <c r="A35">
        <v>333</v>
      </c>
      <c r="B35" t="s">
        <v>229</v>
      </c>
      <c r="C35">
        <v>1</v>
      </c>
      <c r="D35">
        <v>7</v>
      </c>
      <c r="E35" t="s">
        <v>193</v>
      </c>
      <c r="F35" t="str">
        <f t="shared" si="0"/>
        <v>⚠️ Low Stock</v>
      </c>
    </row>
    <row r="36" spans="1:6" x14ac:dyDescent="0.3">
      <c r="A36">
        <v>334</v>
      </c>
      <c r="B36" t="s">
        <v>230</v>
      </c>
      <c r="C36">
        <v>26</v>
      </c>
      <c r="D36">
        <v>11</v>
      </c>
      <c r="E36" t="s">
        <v>195</v>
      </c>
      <c r="F36" t="str">
        <f t="shared" si="0"/>
        <v>✓ OK</v>
      </c>
    </row>
    <row r="37" spans="1:6" x14ac:dyDescent="0.3">
      <c r="A37">
        <v>335</v>
      </c>
      <c r="B37" t="s">
        <v>231</v>
      </c>
      <c r="C37">
        <v>15</v>
      </c>
      <c r="D37">
        <v>14</v>
      </c>
      <c r="E37" t="s">
        <v>191</v>
      </c>
      <c r="F37" t="str">
        <f t="shared" si="0"/>
        <v>✓ OK</v>
      </c>
    </row>
    <row r="38" spans="1:6" x14ac:dyDescent="0.3">
      <c r="A38">
        <v>336</v>
      </c>
      <c r="B38" t="s">
        <v>232</v>
      </c>
      <c r="C38">
        <v>42</v>
      </c>
      <c r="D38">
        <v>8</v>
      </c>
      <c r="E38" t="s">
        <v>197</v>
      </c>
      <c r="F38" t="str">
        <f t="shared" si="0"/>
        <v>✓ OK</v>
      </c>
    </row>
    <row r="39" spans="1:6" x14ac:dyDescent="0.3">
      <c r="A39">
        <v>337</v>
      </c>
      <c r="B39" t="s">
        <v>233</v>
      </c>
      <c r="C39">
        <v>37</v>
      </c>
      <c r="D39">
        <v>9</v>
      </c>
      <c r="E39" t="s">
        <v>199</v>
      </c>
      <c r="F39" t="str">
        <f t="shared" si="0"/>
        <v>✓ OK</v>
      </c>
    </row>
    <row r="40" spans="1:6" x14ac:dyDescent="0.3">
      <c r="A40">
        <v>338</v>
      </c>
      <c r="B40" t="s">
        <v>234</v>
      </c>
      <c r="C40">
        <v>35</v>
      </c>
      <c r="D40">
        <v>8</v>
      </c>
      <c r="E40" t="s">
        <v>214</v>
      </c>
      <c r="F40" t="str">
        <f t="shared" si="0"/>
        <v>✓ OK</v>
      </c>
    </row>
    <row r="41" spans="1:6" x14ac:dyDescent="0.3">
      <c r="A41">
        <v>339</v>
      </c>
      <c r="B41" t="s">
        <v>235</v>
      </c>
      <c r="C41">
        <v>50</v>
      </c>
      <c r="D41">
        <v>9</v>
      </c>
      <c r="E41" t="s">
        <v>197</v>
      </c>
      <c r="F41" t="str">
        <f t="shared" si="0"/>
        <v>✓ OK</v>
      </c>
    </row>
  </sheetData>
  <conditionalFormatting sqref="A2:F41">
    <cfRule type="expression" dxfId="19" priority="3">
      <formula>$C2&lt;$D2</formula>
    </cfRule>
  </conditionalFormatting>
  <conditionalFormatting sqref="C2:C41">
    <cfRule type="colorScale" priority="4">
      <colorScale>
        <cfvo type="min"/>
        <cfvo type="max"/>
        <color rgb="FFFF7128"/>
        <color rgb="FFFFEF9C"/>
      </colorScale>
    </cfRule>
  </conditionalFormatting>
  <conditionalFormatting sqref="F2:F41">
    <cfRule type="containsText" dxfId="18" priority="1" operator="containsText" text="Low Stock">
      <formula>NOT(ISERROR(SEARCH("Low Stock",F2)))</formula>
    </cfRule>
    <cfRule type="containsText" dxfId="17" priority="2" operator="containsText" text="OK">
      <formula>NOT(ISERROR(SEARCH("OK",F2)))</formula>
    </cfRule>
  </conditionalFormatting>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74053-458E-4ABF-ACD5-E13B7BE81568}">
  <sheetPr>
    <tabColor theme="4" tint="0.79998168889431442"/>
  </sheetPr>
  <dimension ref="A1:F46"/>
  <sheetViews>
    <sheetView workbookViewId="0">
      <selection sqref="A1:F1"/>
    </sheetView>
  </sheetViews>
  <sheetFormatPr defaultRowHeight="14.4" x14ac:dyDescent="0.3"/>
  <cols>
    <col min="1" max="1" width="57.21875" bestFit="1" customWidth="1"/>
    <col min="2" max="2" width="10.88671875" bestFit="1" customWidth="1"/>
    <col min="3" max="3" width="14.44140625" bestFit="1" customWidth="1"/>
    <col min="4" max="4" width="14.77734375" bestFit="1" customWidth="1"/>
    <col min="5" max="5" width="11.44140625" bestFit="1" customWidth="1"/>
    <col min="6" max="6" width="8.109375" bestFit="1" customWidth="1"/>
  </cols>
  <sheetData>
    <row r="1" spans="1:6" ht="30" customHeight="1" x14ac:dyDescent="0.45">
      <c r="A1" s="165" t="s">
        <v>603</v>
      </c>
      <c r="B1" s="153"/>
      <c r="C1" s="153"/>
      <c r="D1" s="153"/>
      <c r="E1" s="153"/>
      <c r="F1" s="153"/>
    </row>
    <row r="2" spans="1:6" x14ac:dyDescent="0.3">
      <c r="A2" s="158" t="s">
        <v>565</v>
      </c>
      <c r="B2" s="153"/>
      <c r="C2" s="153"/>
      <c r="D2" s="153"/>
      <c r="E2" s="153"/>
      <c r="F2" s="153"/>
    </row>
    <row r="4" spans="1:6" ht="18" x14ac:dyDescent="0.35">
      <c r="A4" s="166" t="s">
        <v>604</v>
      </c>
      <c r="B4" s="153"/>
      <c r="C4" s="153"/>
    </row>
    <row r="6" spans="1:6" x14ac:dyDescent="0.3">
      <c r="A6" s="37" t="s">
        <v>535</v>
      </c>
      <c r="B6" s="37" t="s">
        <v>536</v>
      </c>
    </row>
    <row r="7" spans="1:6" x14ac:dyDescent="0.3">
      <c r="A7" s="6" t="s">
        <v>605</v>
      </c>
      <c r="B7" s="82">
        <f>COUNTA(Inventory!A2:A41)</f>
        <v>40</v>
      </c>
    </row>
    <row r="8" spans="1:6" x14ac:dyDescent="0.3">
      <c r="A8" s="6" t="s">
        <v>606</v>
      </c>
      <c r="B8" s="82">
        <f>SUM(Inventory!C2:C41)</f>
        <v>866</v>
      </c>
    </row>
    <row r="9" spans="1:6" x14ac:dyDescent="0.3">
      <c r="A9" s="6" t="s">
        <v>607</v>
      </c>
      <c r="B9" s="83">
        <f>AVERAGE(Inventory!C2:C41)</f>
        <v>21.65</v>
      </c>
    </row>
    <row r="10" spans="1:6" x14ac:dyDescent="0.3">
      <c r="A10" s="6" t="s">
        <v>608</v>
      </c>
      <c r="B10" s="82">
        <f>COUNTIF(Inventory!F2:F41,"⚠️ Low Stock")</f>
        <v>11</v>
      </c>
    </row>
    <row r="11" spans="1:6" x14ac:dyDescent="0.3">
      <c r="A11" s="6" t="s">
        <v>609</v>
      </c>
      <c r="B11" s="82">
        <f>COUNTIF(Inventory!F2:F41,"✓ OK")</f>
        <v>29</v>
      </c>
    </row>
    <row r="12" spans="1:6" x14ac:dyDescent="0.3">
      <c r="A12" s="6" t="s">
        <v>610</v>
      </c>
      <c r="B12" s="84">
        <f>B10/B7</f>
        <v>0.27500000000000002</v>
      </c>
    </row>
    <row r="13" spans="1:6" x14ac:dyDescent="0.3">
      <c r="A13" s="6" t="s">
        <v>611</v>
      </c>
      <c r="B13" s="82">
        <f>MIN(Inventory!C2:C41)</f>
        <v>1</v>
      </c>
    </row>
    <row r="14" spans="1:6" x14ac:dyDescent="0.3">
      <c r="A14" s="6" t="s">
        <v>612</v>
      </c>
      <c r="B14" s="82">
        <f>MAX(Inventory!C2:C41)</f>
        <v>50</v>
      </c>
    </row>
    <row r="16" spans="1:6" ht="18" x14ac:dyDescent="0.35">
      <c r="A16" s="166" t="s">
        <v>613</v>
      </c>
      <c r="B16" s="153"/>
      <c r="C16" s="153"/>
      <c r="D16" s="153"/>
      <c r="E16" s="153"/>
    </row>
    <row r="18" spans="1:6" x14ac:dyDescent="0.3">
      <c r="A18" s="37" t="s">
        <v>189</v>
      </c>
      <c r="B18" s="37" t="s">
        <v>605</v>
      </c>
      <c r="C18" s="37" t="s">
        <v>614</v>
      </c>
      <c r="D18" s="37" t="s">
        <v>615</v>
      </c>
      <c r="E18" s="37" t="s">
        <v>616</v>
      </c>
    </row>
    <row r="19" spans="1:6" x14ac:dyDescent="0.3">
      <c r="A19" s="6" t="s">
        <v>214</v>
      </c>
      <c r="B19" s="82">
        <f>COUNTIF(Inventory!E:E,"Dell")</f>
        <v>3</v>
      </c>
      <c r="C19" s="82">
        <f>SUMIF(Inventory!E:E,"Dell",Inventory!C:C)</f>
        <v>90</v>
      </c>
      <c r="D19" s="82">
        <f>COUNTIFS(Inventory!E:E,"Dell",Inventory!F:F,"⚠️ Low Stock")</f>
        <v>0</v>
      </c>
      <c r="E19" s="62">
        <f t="shared" ref="E19:E25" si="0">IF(B19&gt;0,D19/B19,0)</f>
        <v>0</v>
      </c>
    </row>
    <row r="20" spans="1:6" x14ac:dyDescent="0.3">
      <c r="A20" s="6" t="s">
        <v>193</v>
      </c>
      <c r="B20" s="82">
        <f>COUNTIF(Inventory!E:E,"Epson")</f>
        <v>11</v>
      </c>
      <c r="C20" s="82">
        <f>SUMIF(Inventory!E:E,"Epson",Inventory!C:C)</f>
        <v>258</v>
      </c>
      <c r="D20" s="82">
        <f>COUNTIFS(Inventory!E:E,"Epson",Inventory!F:F,"⚠️ Low Stock")</f>
        <v>3</v>
      </c>
      <c r="E20" s="62">
        <f t="shared" si="0"/>
        <v>0.27272727272727271</v>
      </c>
    </row>
    <row r="21" spans="1:6" x14ac:dyDescent="0.3">
      <c r="A21" s="6" t="s">
        <v>195</v>
      </c>
      <c r="B21" s="82">
        <f>COUNTIF(Inventory!E:E,"HP")</f>
        <v>8</v>
      </c>
      <c r="C21" s="82">
        <f>SUMIF(Inventory!E:E,"HP",Inventory!C:C)</f>
        <v>138</v>
      </c>
      <c r="D21" s="82">
        <f>COUNTIFS(Inventory!E:E,"HP",Inventory!F:F,"⚠️ Low Stock")</f>
        <v>3</v>
      </c>
      <c r="E21" s="62">
        <f t="shared" si="0"/>
        <v>0.375</v>
      </c>
    </row>
    <row r="22" spans="1:6" x14ac:dyDescent="0.3">
      <c r="A22" s="6" t="s">
        <v>191</v>
      </c>
      <c r="B22" s="82">
        <f>COUNTIF(Inventory!E:E,"Lenovo")</f>
        <v>4</v>
      </c>
      <c r="C22" s="82">
        <f>SUMIF(Inventory!E:E,"Lenovo",Inventory!C:C)</f>
        <v>59</v>
      </c>
      <c r="D22" s="82">
        <f>COUNTIFS(Inventory!E:E,"Lenovo",Inventory!F:F,"⚠️ Low Stock")</f>
        <v>2</v>
      </c>
      <c r="E22" s="62">
        <f t="shared" si="0"/>
        <v>0.5</v>
      </c>
    </row>
    <row r="23" spans="1:6" x14ac:dyDescent="0.3">
      <c r="A23" s="6" t="s">
        <v>199</v>
      </c>
      <c r="B23" s="82">
        <f>COUNTIF(Inventory!E:E,"Logitech")</f>
        <v>5</v>
      </c>
      <c r="C23" s="82">
        <f>SUMIF(Inventory!E:E,"Logitech",Inventory!C:C)</f>
        <v>84</v>
      </c>
      <c r="D23" s="82">
        <f>COUNTIFS(Inventory!E:E,"Logitech",Inventory!F:F,"⚠️ Low Stock")</f>
        <v>2</v>
      </c>
      <c r="E23" s="62">
        <f t="shared" si="0"/>
        <v>0.4</v>
      </c>
    </row>
    <row r="24" spans="1:6" x14ac:dyDescent="0.3">
      <c r="A24" s="6" t="s">
        <v>197</v>
      </c>
      <c r="B24" s="82">
        <f>COUNTIF(Inventory!E:E,"Samsung")</f>
        <v>9</v>
      </c>
      <c r="C24" s="82">
        <f>SUMIF(Inventory!E:E,"Samsung",Inventory!C:C)</f>
        <v>237</v>
      </c>
      <c r="D24" s="82">
        <f>COUNTIFS(Inventory!E:E,"Samsung",Inventory!F:F,"⚠️ Low Stock")</f>
        <v>1</v>
      </c>
      <c r="E24" s="62">
        <f t="shared" si="0"/>
        <v>0.1111111111111111</v>
      </c>
    </row>
    <row r="25" spans="1:6" x14ac:dyDescent="0.3">
      <c r="A25" s="85" t="s">
        <v>598</v>
      </c>
      <c r="B25" s="86">
        <f>SUM(B19:B24)</f>
        <v>40</v>
      </c>
      <c r="C25" s="86">
        <f>SUM(C19:C24)</f>
        <v>866</v>
      </c>
      <c r="D25" s="86">
        <f>SUM(D19:D24)</f>
        <v>11</v>
      </c>
      <c r="E25" s="87">
        <f t="shared" si="0"/>
        <v>0.27500000000000002</v>
      </c>
    </row>
    <row r="27" spans="1:6" ht="18" x14ac:dyDescent="0.35">
      <c r="A27" s="167" t="s">
        <v>617</v>
      </c>
      <c r="B27" s="153"/>
      <c r="C27" s="153"/>
      <c r="D27" s="153"/>
      <c r="E27" s="153"/>
      <c r="F27" s="153"/>
    </row>
    <row r="29" spans="1:6" x14ac:dyDescent="0.3">
      <c r="A29" s="88" t="s">
        <v>185</v>
      </c>
      <c r="B29" s="88" t="s">
        <v>186</v>
      </c>
      <c r="C29" s="88" t="s">
        <v>187</v>
      </c>
      <c r="D29" s="88" t="s">
        <v>188</v>
      </c>
      <c r="E29" s="88" t="s">
        <v>618</v>
      </c>
      <c r="F29" s="88" t="s">
        <v>189</v>
      </c>
    </row>
    <row r="30" spans="1:6" x14ac:dyDescent="0.3">
      <c r="A30" s="89">
        <f>Inventory!A5</f>
        <v>303</v>
      </c>
      <c r="B30" s="89" t="str">
        <f>Inventory!B5</f>
        <v>Item_4</v>
      </c>
      <c r="C30" s="89">
        <f>Inventory!C5</f>
        <v>9</v>
      </c>
      <c r="D30" s="89">
        <f>Inventory!D5</f>
        <v>14</v>
      </c>
      <c r="E30" s="89">
        <f>Inventory!C5-Inventory!D5</f>
        <v>-5</v>
      </c>
      <c r="F30" s="89" t="str">
        <f>Inventory!E5</f>
        <v>Samsung</v>
      </c>
    </row>
    <row r="31" spans="1:6" x14ac:dyDescent="0.3">
      <c r="A31" s="89">
        <f>Inventory!A6</f>
        <v>304</v>
      </c>
      <c r="B31" s="89" t="str">
        <f>Inventory!B6</f>
        <v>Item_5</v>
      </c>
      <c r="C31" s="89">
        <f>Inventory!C6</f>
        <v>5</v>
      </c>
      <c r="D31" s="89">
        <f>Inventory!D6</f>
        <v>7</v>
      </c>
      <c r="E31" s="89">
        <f>Inventory!C6-Inventory!D6</f>
        <v>-2</v>
      </c>
      <c r="F31" s="89" t="str">
        <f>Inventory!E6</f>
        <v>Logitech</v>
      </c>
    </row>
    <row r="32" spans="1:6" x14ac:dyDescent="0.3">
      <c r="A32" s="89">
        <f>Inventory!A7</f>
        <v>305</v>
      </c>
      <c r="B32" s="89" t="str">
        <f>Inventory!B7</f>
        <v>Item_6</v>
      </c>
      <c r="C32" s="89">
        <f>Inventory!C7</f>
        <v>2</v>
      </c>
      <c r="D32" s="89">
        <f>Inventory!D7</f>
        <v>14</v>
      </c>
      <c r="E32" s="89">
        <f>Inventory!C7-Inventory!D7</f>
        <v>-12</v>
      </c>
      <c r="F32" s="89" t="str">
        <f>Inventory!E7</f>
        <v>Lenovo</v>
      </c>
    </row>
    <row r="33" spans="1:6" x14ac:dyDescent="0.3">
      <c r="A33" s="89">
        <f>Inventory!A12</f>
        <v>310</v>
      </c>
      <c r="B33" s="89" t="str">
        <f>Inventory!B12</f>
        <v>Item_11</v>
      </c>
      <c r="C33" s="89">
        <f>Inventory!C12</f>
        <v>7</v>
      </c>
      <c r="D33" s="89">
        <f>Inventory!D12</f>
        <v>12</v>
      </c>
      <c r="E33" s="89">
        <f>Inventory!C12-Inventory!D12</f>
        <v>-5</v>
      </c>
      <c r="F33" s="89" t="str">
        <f>Inventory!E12</f>
        <v>Epson</v>
      </c>
    </row>
    <row r="34" spans="1:6" x14ac:dyDescent="0.3">
      <c r="A34" s="89">
        <f>Inventory!A15</f>
        <v>313</v>
      </c>
      <c r="B34" s="89" t="str">
        <f>Inventory!B15</f>
        <v>Item_14</v>
      </c>
      <c r="C34" s="89">
        <f>Inventory!C15</f>
        <v>8</v>
      </c>
      <c r="D34" s="89">
        <f>Inventory!D15</f>
        <v>14</v>
      </c>
      <c r="E34" s="89">
        <f>Inventory!C15-Inventory!D15</f>
        <v>-6</v>
      </c>
      <c r="F34" s="89" t="str">
        <f>Inventory!E15</f>
        <v>Epson</v>
      </c>
    </row>
    <row r="35" spans="1:6" x14ac:dyDescent="0.3">
      <c r="A35" s="89">
        <f>Inventory!A16</f>
        <v>314</v>
      </c>
      <c r="B35" s="89" t="str">
        <f>Inventory!B16</f>
        <v>Item_15</v>
      </c>
      <c r="C35" s="89">
        <f>Inventory!C16</f>
        <v>2</v>
      </c>
      <c r="D35" s="89">
        <f>Inventory!D16</f>
        <v>14</v>
      </c>
      <c r="E35" s="89">
        <f>Inventory!C16-Inventory!D16</f>
        <v>-12</v>
      </c>
      <c r="F35" s="89" t="str">
        <f>Inventory!E16</f>
        <v>HP</v>
      </c>
    </row>
    <row r="36" spans="1:6" x14ac:dyDescent="0.3">
      <c r="A36" s="89">
        <f>Inventory!A19</f>
        <v>317</v>
      </c>
      <c r="B36" s="89" t="str">
        <f>Inventory!B19</f>
        <v>Item_18</v>
      </c>
      <c r="C36" s="89">
        <f>Inventory!C19</f>
        <v>3</v>
      </c>
      <c r="D36" s="89">
        <f>Inventory!D19</f>
        <v>13</v>
      </c>
      <c r="E36" s="89">
        <f>Inventory!C19-Inventory!D19</f>
        <v>-10</v>
      </c>
      <c r="F36" s="89" t="str">
        <f>Inventory!E19</f>
        <v>Logitech</v>
      </c>
    </row>
    <row r="37" spans="1:6" x14ac:dyDescent="0.3">
      <c r="A37" s="89">
        <f>Inventory!A26</f>
        <v>324</v>
      </c>
      <c r="B37" s="89" t="str">
        <f>Inventory!B26</f>
        <v>Item_25</v>
      </c>
      <c r="C37" s="89">
        <f>Inventory!C26</f>
        <v>7</v>
      </c>
      <c r="D37" s="89">
        <f>Inventory!D26</f>
        <v>8</v>
      </c>
      <c r="E37" s="89">
        <f>Inventory!C26-Inventory!D26</f>
        <v>-1</v>
      </c>
      <c r="F37" s="89" t="str">
        <f>Inventory!E26</f>
        <v>Lenovo</v>
      </c>
    </row>
    <row r="38" spans="1:6" x14ac:dyDescent="0.3">
      <c r="A38" s="89">
        <f>Inventory!A31</f>
        <v>329</v>
      </c>
      <c r="B38" s="89" t="str">
        <f>Inventory!B31</f>
        <v>Item_30</v>
      </c>
      <c r="C38" s="89">
        <f>Inventory!C31</f>
        <v>10</v>
      </c>
      <c r="D38" s="89">
        <f>Inventory!D31</f>
        <v>15</v>
      </c>
      <c r="E38" s="89">
        <f>Inventory!C31-Inventory!D31</f>
        <v>-5</v>
      </c>
      <c r="F38" s="89" t="str">
        <f>Inventory!E31</f>
        <v>HP</v>
      </c>
    </row>
    <row r="39" spans="1:6" x14ac:dyDescent="0.3">
      <c r="A39" s="89">
        <f>Inventory!A33</f>
        <v>331</v>
      </c>
      <c r="B39" s="89" t="str">
        <f>Inventory!B33</f>
        <v>Item_32</v>
      </c>
      <c r="C39" s="89">
        <f>Inventory!C33</f>
        <v>4</v>
      </c>
      <c r="D39" s="89">
        <f>Inventory!D33</f>
        <v>6</v>
      </c>
      <c r="E39" s="89">
        <f>Inventory!C33-Inventory!D33</f>
        <v>-2</v>
      </c>
      <c r="F39" s="89" t="str">
        <f>Inventory!E33</f>
        <v>HP</v>
      </c>
    </row>
    <row r="40" spans="1:6" x14ac:dyDescent="0.3">
      <c r="A40" s="89">
        <f>Inventory!A35</f>
        <v>333</v>
      </c>
      <c r="B40" s="89" t="str">
        <f>Inventory!B35</f>
        <v>Item_34</v>
      </c>
      <c r="C40" s="89">
        <f>Inventory!C35</f>
        <v>1</v>
      </c>
      <c r="D40" s="89">
        <f>Inventory!D35</f>
        <v>7</v>
      </c>
      <c r="E40" s="89">
        <f>Inventory!C35-Inventory!D35</f>
        <v>-6</v>
      </c>
      <c r="F40" s="89" t="str">
        <f>Inventory!E35</f>
        <v>Epson</v>
      </c>
    </row>
    <row r="42" spans="1:6" x14ac:dyDescent="0.3">
      <c r="A42" s="168" t="s">
        <v>524</v>
      </c>
      <c r="B42" s="153"/>
      <c r="C42" s="153"/>
      <c r="D42" s="153"/>
      <c r="E42" s="153"/>
      <c r="F42" s="153"/>
    </row>
    <row r="43" spans="1:6" x14ac:dyDescent="0.3">
      <c r="A43" t="s">
        <v>619</v>
      </c>
    </row>
    <row r="44" spans="1:6" x14ac:dyDescent="0.3">
      <c r="A44" t="s">
        <v>620</v>
      </c>
    </row>
    <row r="45" spans="1:6" x14ac:dyDescent="0.3">
      <c r="A45" t="s">
        <v>621</v>
      </c>
    </row>
    <row r="46" spans="1:6" x14ac:dyDescent="0.3">
      <c r="A46" t="s">
        <v>622</v>
      </c>
    </row>
  </sheetData>
  <mergeCells count="6">
    <mergeCell ref="A42:F42"/>
    <mergeCell ref="A1:F1"/>
    <mergeCell ref="A2:F2"/>
    <mergeCell ref="A4:C4"/>
    <mergeCell ref="A16:E16"/>
    <mergeCell ref="A27:F27"/>
  </mergeCells>
  <conditionalFormatting sqref="C30:C40">
    <cfRule type="colorScale" priority="3">
      <colorScale>
        <cfvo type="min"/>
        <cfvo type="percentile" val="50"/>
        <cfvo type="max"/>
        <color rgb="FFF8696B"/>
        <color rgb="FFFFEB84"/>
        <color rgb="FF63BE7B"/>
      </colorScale>
    </cfRule>
  </conditionalFormatting>
  <conditionalFormatting sqref="D19:D24">
    <cfRule type="dataBar" priority="1">
      <dataBar>
        <cfvo type="min"/>
        <cfvo type="max"/>
        <color rgb="FFFF6B6B"/>
      </dataBar>
      <extLst>
        <ext xmlns:x14="http://schemas.microsoft.com/office/spreadsheetml/2009/9/main" uri="{B025F937-C7B1-47D3-B67F-A62EFF666E3E}">
          <x14:id>{F091585D-7382-4E75-A937-B80A6C0A00C5}</x14:id>
        </ext>
      </extLst>
    </cfRule>
  </conditionalFormatting>
  <conditionalFormatting sqref="E19:E24">
    <cfRule type="colorScale" priority="2">
      <colorScale>
        <cfvo type="min"/>
        <cfvo type="percentile" val="50"/>
        <cfvo type="max"/>
        <color rgb="FF63BE7B"/>
        <color rgb="FFFFEB84"/>
        <color rgb="FFF8696B"/>
      </colorScale>
    </cfRule>
  </conditionalFormatting>
  <conditionalFormatting sqref="E30:E40">
    <cfRule type="cellIs" dxfId="16" priority="4" operator="lessThan">
      <formula>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091585D-7382-4E75-A937-B80A6C0A00C5}">
            <x14:dataBar minLength="0" maxLength="100" border="1" direction="leftToRight" negativeBarColorSameAsPositive="1" axisPosition="none">
              <x14:cfvo type="min"/>
              <x14:cfvo type="max"/>
              <x14:borderColor rgb="FFC00000"/>
            </x14:dataBar>
          </x14:cfRule>
          <xm:sqref>D19:D24</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79998168889431442"/>
  </sheetPr>
  <dimension ref="A1:H41"/>
  <sheetViews>
    <sheetView workbookViewId="0"/>
  </sheetViews>
  <sheetFormatPr defaultRowHeight="14.4" x14ac:dyDescent="0.3"/>
  <cols>
    <col min="1" max="1" width="13.77734375" bestFit="1" customWidth="1"/>
    <col min="2" max="2" width="11.6640625" bestFit="1" customWidth="1"/>
    <col min="3" max="3" width="16.77734375" bestFit="1" customWidth="1"/>
    <col min="4" max="4" width="10.88671875" bestFit="1" customWidth="1"/>
    <col min="5" max="5" width="13.44140625" bestFit="1" customWidth="1"/>
    <col min="6" max="6" width="19.88671875" bestFit="1" customWidth="1"/>
    <col min="7" max="7" width="13.33203125" bestFit="1" customWidth="1"/>
    <col min="8" max="8" width="10" bestFit="1" customWidth="1"/>
  </cols>
  <sheetData>
    <row r="1" spans="1:8" ht="15" thickBot="1" x14ac:dyDescent="0.35">
      <c r="A1" s="105" t="s">
        <v>1</v>
      </c>
      <c r="B1" s="106" t="s">
        <v>236</v>
      </c>
      <c r="C1" s="106" t="s">
        <v>237</v>
      </c>
      <c r="D1" s="106" t="s">
        <v>238</v>
      </c>
      <c r="E1" s="106" t="s">
        <v>239</v>
      </c>
      <c r="F1" s="107" t="s">
        <v>623</v>
      </c>
      <c r="G1" s="107" t="s">
        <v>624</v>
      </c>
      <c r="H1" s="108" t="s">
        <v>625</v>
      </c>
    </row>
    <row r="2" spans="1:8" x14ac:dyDescent="0.3">
      <c r="A2" s="101" t="s">
        <v>240</v>
      </c>
      <c r="B2" s="90" t="s">
        <v>241</v>
      </c>
      <c r="C2" s="102">
        <v>46023</v>
      </c>
      <c r="D2" s="90" t="s">
        <v>242</v>
      </c>
      <c r="E2" s="102">
        <v>46030</v>
      </c>
      <c r="F2" s="103" t="str">
        <f t="shared" ref="F2:F41" si="0">IF(E2="","",IF(E2&lt;DATE(2026,3,29),"⏰ Overdue ("&amp;DATE(2026,3,29)-E2&amp;" days)",IF(E2&lt;=DATE(2026,3,29)+7,"⚠️ Due in "&amp;E2-DATE(2026,3,29)&amp;" days","📅 Scheduled")))</f>
        <v>⏰ Overdue (80 days)</v>
      </c>
      <c r="G2" s="103">
        <f t="shared" ref="G2:G41" si="1">IF(E2&lt;DATE(2026,3,29),DATE(2026,3,29)-E2,0)</f>
        <v>80</v>
      </c>
      <c r="H2" s="104" t="str">
        <f t="shared" ref="H2:H41" si="2">IF(D2="Closed","—",IF(G2&gt;=60,"🔴 Critical",IF(G2&gt;=30,"🟠 High",IF(G2&gt;=7,"🟡 Medium","🟢 Low"))))</f>
        <v>🔴 Critical</v>
      </c>
    </row>
    <row r="3" spans="1:8" x14ac:dyDescent="0.3">
      <c r="A3" s="97" t="s">
        <v>243</v>
      </c>
      <c r="B3" s="91" t="s">
        <v>244</v>
      </c>
      <c r="C3" s="92">
        <v>46024</v>
      </c>
      <c r="D3" s="91" t="s">
        <v>245</v>
      </c>
      <c r="E3" s="92">
        <v>46031</v>
      </c>
      <c r="F3" s="93" t="str">
        <f t="shared" si="0"/>
        <v>⏰ Overdue (79 days)</v>
      </c>
      <c r="G3" s="93">
        <f t="shared" si="1"/>
        <v>79</v>
      </c>
      <c r="H3" s="99" t="str">
        <f t="shared" si="2"/>
        <v>🔴 Critical</v>
      </c>
    </row>
    <row r="4" spans="1:8" x14ac:dyDescent="0.3">
      <c r="A4" s="97" t="s">
        <v>246</v>
      </c>
      <c r="B4" s="91" t="s">
        <v>247</v>
      </c>
      <c r="C4" s="92">
        <v>46025</v>
      </c>
      <c r="D4" s="91" t="s">
        <v>242</v>
      </c>
      <c r="E4" s="92">
        <v>46032</v>
      </c>
      <c r="F4" s="93" t="str">
        <f t="shared" si="0"/>
        <v>⏰ Overdue (78 days)</v>
      </c>
      <c r="G4" s="93">
        <f t="shared" si="1"/>
        <v>78</v>
      </c>
      <c r="H4" s="99" t="str">
        <f t="shared" si="2"/>
        <v>🔴 Critical</v>
      </c>
    </row>
    <row r="5" spans="1:8" x14ac:dyDescent="0.3">
      <c r="A5" s="97" t="s">
        <v>243</v>
      </c>
      <c r="B5" s="91" t="s">
        <v>248</v>
      </c>
      <c r="C5" s="92">
        <v>46026</v>
      </c>
      <c r="D5" s="91" t="s">
        <v>242</v>
      </c>
      <c r="E5" s="92">
        <v>46033</v>
      </c>
      <c r="F5" s="93" t="str">
        <f t="shared" si="0"/>
        <v>⏰ Overdue (77 days)</v>
      </c>
      <c r="G5" s="93">
        <f t="shared" si="1"/>
        <v>77</v>
      </c>
      <c r="H5" s="99" t="str">
        <f t="shared" si="2"/>
        <v>🔴 Critical</v>
      </c>
    </row>
    <row r="6" spans="1:8" x14ac:dyDescent="0.3">
      <c r="A6" s="97" t="s">
        <v>48</v>
      </c>
      <c r="B6" s="91" t="s">
        <v>249</v>
      </c>
      <c r="C6" s="92">
        <v>46027</v>
      </c>
      <c r="D6" s="91" t="s">
        <v>250</v>
      </c>
      <c r="E6" s="92">
        <v>46034</v>
      </c>
      <c r="F6" s="93" t="str">
        <f t="shared" si="0"/>
        <v>⏰ Overdue (76 days)</v>
      </c>
      <c r="G6" s="93">
        <f t="shared" si="1"/>
        <v>76</v>
      </c>
      <c r="H6" s="99" t="str">
        <f t="shared" si="2"/>
        <v>—</v>
      </c>
    </row>
    <row r="7" spans="1:8" x14ac:dyDescent="0.3">
      <c r="A7" s="97" t="s">
        <v>74</v>
      </c>
      <c r="B7" s="91" t="s">
        <v>251</v>
      </c>
      <c r="C7" s="92">
        <v>46028</v>
      </c>
      <c r="D7" s="91" t="s">
        <v>252</v>
      </c>
      <c r="E7" s="92">
        <v>46035</v>
      </c>
      <c r="F7" s="93" t="str">
        <f t="shared" si="0"/>
        <v>⏰ Overdue (75 days)</v>
      </c>
      <c r="G7" s="93">
        <f t="shared" si="1"/>
        <v>75</v>
      </c>
      <c r="H7" s="99" t="str">
        <f t="shared" si="2"/>
        <v>🔴 Critical</v>
      </c>
    </row>
    <row r="8" spans="1:8" x14ac:dyDescent="0.3">
      <c r="A8" s="97" t="s">
        <v>246</v>
      </c>
      <c r="B8" s="91" t="s">
        <v>253</v>
      </c>
      <c r="C8" s="92">
        <v>46029</v>
      </c>
      <c r="D8" s="91" t="s">
        <v>250</v>
      </c>
      <c r="E8" s="92">
        <v>46036</v>
      </c>
      <c r="F8" s="93" t="str">
        <f t="shared" si="0"/>
        <v>⏰ Overdue (74 days)</v>
      </c>
      <c r="G8" s="93">
        <f t="shared" si="1"/>
        <v>74</v>
      </c>
      <c r="H8" s="99" t="str">
        <f t="shared" si="2"/>
        <v>—</v>
      </c>
    </row>
    <row r="9" spans="1:8" x14ac:dyDescent="0.3">
      <c r="A9" s="97" t="s">
        <v>254</v>
      </c>
      <c r="B9" s="91" t="s">
        <v>255</v>
      </c>
      <c r="C9" s="92">
        <v>46030</v>
      </c>
      <c r="D9" s="91" t="s">
        <v>250</v>
      </c>
      <c r="E9" s="92">
        <v>46037</v>
      </c>
      <c r="F9" s="93" t="str">
        <f t="shared" si="0"/>
        <v>⏰ Overdue (73 days)</v>
      </c>
      <c r="G9" s="93">
        <f t="shared" si="1"/>
        <v>73</v>
      </c>
      <c r="H9" s="99" t="str">
        <f t="shared" si="2"/>
        <v>—</v>
      </c>
    </row>
    <row r="10" spans="1:8" x14ac:dyDescent="0.3">
      <c r="A10" s="97" t="s">
        <v>256</v>
      </c>
      <c r="B10" s="91" t="s">
        <v>257</v>
      </c>
      <c r="C10" s="92">
        <v>46031</v>
      </c>
      <c r="D10" s="91" t="s">
        <v>242</v>
      </c>
      <c r="E10" s="92">
        <v>46038</v>
      </c>
      <c r="F10" s="93" t="str">
        <f t="shared" si="0"/>
        <v>⏰ Overdue (72 days)</v>
      </c>
      <c r="G10" s="93">
        <f t="shared" si="1"/>
        <v>72</v>
      </c>
      <c r="H10" s="99" t="str">
        <f t="shared" si="2"/>
        <v>🔴 Critical</v>
      </c>
    </row>
    <row r="11" spans="1:8" x14ac:dyDescent="0.3">
      <c r="A11" s="97" t="s">
        <v>258</v>
      </c>
      <c r="B11" s="91" t="s">
        <v>259</v>
      </c>
      <c r="C11" s="92">
        <v>46032</v>
      </c>
      <c r="D11" s="91" t="s">
        <v>250</v>
      </c>
      <c r="E11" s="92">
        <v>46039</v>
      </c>
      <c r="F11" s="93" t="str">
        <f t="shared" si="0"/>
        <v>⏰ Overdue (71 days)</v>
      </c>
      <c r="G11" s="93">
        <f t="shared" si="1"/>
        <v>71</v>
      </c>
      <c r="H11" s="99" t="str">
        <f t="shared" si="2"/>
        <v>—</v>
      </c>
    </row>
    <row r="12" spans="1:8" x14ac:dyDescent="0.3">
      <c r="A12" s="97" t="s">
        <v>260</v>
      </c>
      <c r="B12" s="91" t="s">
        <v>261</v>
      </c>
      <c r="C12" s="92">
        <v>46033</v>
      </c>
      <c r="D12" s="91" t="s">
        <v>242</v>
      </c>
      <c r="E12" s="92">
        <v>46040</v>
      </c>
      <c r="F12" s="93" t="str">
        <f t="shared" si="0"/>
        <v>⏰ Overdue (70 days)</v>
      </c>
      <c r="G12" s="93">
        <f t="shared" si="1"/>
        <v>70</v>
      </c>
      <c r="H12" s="99" t="str">
        <f t="shared" si="2"/>
        <v>🔴 Critical</v>
      </c>
    </row>
    <row r="13" spans="1:8" x14ac:dyDescent="0.3">
      <c r="A13" s="97" t="s">
        <v>262</v>
      </c>
      <c r="B13" s="91" t="s">
        <v>263</v>
      </c>
      <c r="C13" s="92">
        <v>46034</v>
      </c>
      <c r="D13" s="91" t="s">
        <v>245</v>
      </c>
      <c r="E13" s="92">
        <v>46041</v>
      </c>
      <c r="F13" s="93" t="str">
        <f t="shared" si="0"/>
        <v>⏰ Overdue (69 days)</v>
      </c>
      <c r="G13" s="93">
        <f t="shared" si="1"/>
        <v>69</v>
      </c>
      <c r="H13" s="99" t="str">
        <f t="shared" si="2"/>
        <v>🔴 Critical</v>
      </c>
    </row>
    <row r="14" spans="1:8" x14ac:dyDescent="0.3">
      <c r="A14" s="97" t="s">
        <v>264</v>
      </c>
      <c r="B14" s="91" t="s">
        <v>265</v>
      </c>
      <c r="C14" s="92">
        <v>46035</v>
      </c>
      <c r="D14" s="91" t="s">
        <v>245</v>
      </c>
      <c r="E14" s="92">
        <v>46042</v>
      </c>
      <c r="F14" s="93" t="str">
        <f t="shared" si="0"/>
        <v>⏰ Overdue (68 days)</v>
      </c>
      <c r="G14" s="93">
        <f t="shared" si="1"/>
        <v>68</v>
      </c>
      <c r="H14" s="99" t="str">
        <f t="shared" si="2"/>
        <v>🔴 Critical</v>
      </c>
    </row>
    <row r="15" spans="1:8" x14ac:dyDescent="0.3">
      <c r="A15" s="97" t="s">
        <v>258</v>
      </c>
      <c r="B15" s="91" t="s">
        <v>266</v>
      </c>
      <c r="C15" s="92">
        <v>46036</v>
      </c>
      <c r="D15" s="91" t="s">
        <v>252</v>
      </c>
      <c r="E15" s="92">
        <v>46043</v>
      </c>
      <c r="F15" s="93" t="str">
        <f t="shared" si="0"/>
        <v>⏰ Overdue (67 days)</v>
      </c>
      <c r="G15" s="93">
        <f t="shared" si="1"/>
        <v>67</v>
      </c>
      <c r="H15" s="99" t="str">
        <f t="shared" si="2"/>
        <v>🔴 Critical</v>
      </c>
    </row>
    <row r="16" spans="1:8" x14ac:dyDescent="0.3">
      <c r="A16" s="97" t="s">
        <v>254</v>
      </c>
      <c r="B16" s="91" t="s">
        <v>267</v>
      </c>
      <c r="C16" s="92">
        <v>46037</v>
      </c>
      <c r="D16" s="91" t="s">
        <v>245</v>
      </c>
      <c r="E16" s="92">
        <v>46044</v>
      </c>
      <c r="F16" s="93" t="str">
        <f t="shared" si="0"/>
        <v>⏰ Overdue (66 days)</v>
      </c>
      <c r="G16" s="93">
        <f t="shared" si="1"/>
        <v>66</v>
      </c>
      <c r="H16" s="99" t="str">
        <f t="shared" si="2"/>
        <v>🔴 Critical</v>
      </c>
    </row>
    <row r="17" spans="1:8" x14ac:dyDescent="0.3">
      <c r="A17" s="97" t="s">
        <v>268</v>
      </c>
      <c r="B17" s="91" t="s">
        <v>269</v>
      </c>
      <c r="C17" s="92">
        <v>46038</v>
      </c>
      <c r="D17" s="91" t="s">
        <v>242</v>
      </c>
      <c r="E17" s="92">
        <v>46045</v>
      </c>
      <c r="F17" s="93" t="str">
        <f t="shared" si="0"/>
        <v>⏰ Overdue (65 days)</v>
      </c>
      <c r="G17" s="93">
        <f t="shared" si="1"/>
        <v>65</v>
      </c>
      <c r="H17" s="99" t="str">
        <f t="shared" si="2"/>
        <v>🔴 Critical</v>
      </c>
    </row>
    <row r="18" spans="1:8" x14ac:dyDescent="0.3">
      <c r="A18" s="97" t="s">
        <v>43</v>
      </c>
      <c r="B18" s="91" t="s">
        <v>270</v>
      </c>
      <c r="C18" s="92">
        <v>46039</v>
      </c>
      <c r="D18" s="91" t="s">
        <v>250</v>
      </c>
      <c r="E18" s="92">
        <v>46046</v>
      </c>
      <c r="F18" s="93" t="str">
        <f t="shared" si="0"/>
        <v>⏰ Overdue (64 days)</v>
      </c>
      <c r="G18" s="93">
        <f t="shared" si="1"/>
        <v>64</v>
      </c>
      <c r="H18" s="99" t="str">
        <f t="shared" si="2"/>
        <v>—</v>
      </c>
    </row>
    <row r="19" spans="1:8" x14ac:dyDescent="0.3">
      <c r="A19" s="97" t="s">
        <v>62</v>
      </c>
      <c r="B19" s="91" t="s">
        <v>271</v>
      </c>
      <c r="C19" s="92">
        <v>46040</v>
      </c>
      <c r="D19" s="91" t="s">
        <v>252</v>
      </c>
      <c r="E19" s="92">
        <v>46047</v>
      </c>
      <c r="F19" s="93" t="str">
        <f t="shared" si="0"/>
        <v>⏰ Overdue (63 days)</v>
      </c>
      <c r="G19" s="93">
        <f t="shared" si="1"/>
        <v>63</v>
      </c>
      <c r="H19" s="99" t="str">
        <f t="shared" si="2"/>
        <v>🔴 Critical</v>
      </c>
    </row>
    <row r="20" spans="1:8" x14ac:dyDescent="0.3">
      <c r="A20" s="97" t="s">
        <v>30</v>
      </c>
      <c r="B20" s="91" t="s">
        <v>272</v>
      </c>
      <c r="C20" s="92">
        <v>46041</v>
      </c>
      <c r="D20" s="91" t="s">
        <v>250</v>
      </c>
      <c r="E20" s="92">
        <v>46048</v>
      </c>
      <c r="F20" s="93" t="str">
        <f t="shared" si="0"/>
        <v>⏰ Overdue (62 days)</v>
      </c>
      <c r="G20" s="93">
        <f t="shared" si="1"/>
        <v>62</v>
      </c>
      <c r="H20" s="99" t="str">
        <f t="shared" si="2"/>
        <v>—</v>
      </c>
    </row>
    <row r="21" spans="1:8" x14ac:dyDescent="0.3">
      <c r="A21" s="97" t="s">
        <v>273</v>
      </c>
      <c r="B21" s="91" t="s">
        <v>274</v>
      </c>
      <c r="C21" s="92">
        <v>46042</v>
      </c>
      <c r="D21" s="91" t="s">
        <v>252</v>
      </c>
      <c r="E21" s="92">
        <v>46049</v>
      </c>
      <c r="F21" s="93" t="str">
        <f t="shared" si="0"/>
        <v>⏰ Overdue (61 days)</v>
      </c>
      <c r="G21" s="93">
        <f t="shared" si="1"/>
        <v>61</v>
      </c>
      <c r="H21" s="99" t="str">
        <f t="shared" si="2"/>
        <v>🔴 Critical</v>
      </c>
    </row>
    <row r="22" spans="1:8" x14ac:dyDescent="0.3">
      <c r="A22" s="97" t="s">
        <v>117</v>
      </c>
      <c r="B22" s="91" t="s">
        <v>275</v>
      </c>
      <c r="C22" s="92">
        <v>46043</v>
      </c>
      <c r="D22" s="91" t="s">
        <v>242</v>
      </c>
      <c r="E22" s="92">
        <v>46050</v>
      </c>
      <c r="F22" s="93" t="str">
        <f t="shared" si="0"/>
        <v>⏰ Overdue (60 days)</v>
      </c>
      <c r="G22" s="93">
        <f t="shared" si="1"/>
        <v>60</v>
      </c>
      <c r="H22" s="99" t="str">
        <f t="shared" si="2"/>
        <v>🔴 Critical</v>
      </c>
    </row>
    <row r="23" spans="1:8" x14ac:dyDescent="0.3">
      <c r="A23" s="97" t="s">
        <v>268</v>
      </c>
      <c r="B23" s="91" t="s">
        <v>276</v>
      </c>
      <c r="C23" s="92">
        <v>46044</v>
      </c>
      <c r="D23" s="91" t="s">
        <v>250</v>
      </c>
      <c r="E23" s="92">
        <v>46051</v>
      </c>
      <c r="F23" s="93" t="str">
        <f t="shared" si="0"/>
        <v>⏰ Overdue (59 days)</v>
      </c>
      <c r="G23" s="93">
        <f t="shared" si="1"/>
        <v>59</v>
      </c>
      <c r="H23" s="99" t="str">
        <f t="shared" si="2"/>
        <v>—</v>
      </c>
    </row>
    <row r="24" spans="1:8" x14ac:dyDescent="0.3">
      <c r="A24" s="97" t="s">
        <v>57</v>
      </c>
      <c r="B24" s="91" t="s">
        <v>277</v>
      </c>
      <c r="C24" s="92">
        <v>46045</v>
      </c>
      <c r="D24" s="91" t="s">
        <v>250</v>
      </c>
      <c r="E24" s="92">
        <v>46052</v>
      </c>
      <c r="F24" s="93" t="str">
        <f t="shared" si="0"/>
        <v>⏰ Overdue (58 days)</v>
      </c>
      <c r="G24" s="93">
        <f t="shared" si="1"/>
        <v>58</v>
      </c>
      <c r="H24" s="99" t="str">
        <f t="shared" si="2"/>
        <v>—</v>
      </c>
    </row>
    <row r="25" spans="1:8" x14ac:dyDescent="0.3">
      <c r="A25" s="97" t="s">
        <v>57</v>
      </c>
      <c r="B25" s="91" t="s">
        <v>278</v>
      </c>
      <c r="C25" s="92">
        <v>46046</v>
      </c>
      <c r="D25" s="91" t="s">
        <v>250</v>
      </c>
      <c r="E25" s="92">
        <v>46053</v>
      </c>
      <c r="F25" s="93" t="str">
        <f t="shared" si="0"/>
        <v>⏰ Overdue (57 days)</v>
      </c>
      <c r="G25" s="93">
        <f t="shared" si="1"/>
        <v>57</v>
      </c>
      <c r="H25" s="99" t="str">
        <f t="shared" si="2"/>
        <v>—</v>
      </c>
    </row>
    <row r="26" spans="1:8" x14ac:dyDescent="0.3">
      <c r="A26" s="97" t="s">
        <v>38</v>
      </c>
      <c r="B26" s="91" t="s">
        <v>279</v>
      </c>
      <c r="C26" s="92">
        <v>46047</v>
      </c>
      <c r="D26" s="91" t="s">
        <v>245</v>
      </c>
      <c r="E26" s="92">
        <v>46054</v>
      </c>
      <c r="F26" s="93" t="str">
        <f t="shared" si="0"/>
        <v>⏰ Overdue (56 days)</v>
      </c>
      <c r="G26" s="93">
        <f t="shared" si="1"/>
        <v>56</v>
      </c>
      <c r="H26" s="99" t="str">
        <f t="shared" si="2"/>
        <v>🟠 High</v>
      </c>
    </row>
    <row r="27" spans="1:8" x14ac:dyDescent="0.3">
      <c r="A27" s="97" t="s">
        <v>54</v>
      </c>
      <c r="B27" s="91" t="s">
        <v>280</v>
      </c>
      <c r="C27" s="92">
        <v>46048</v>
      </c>
      <c r="D27" s="91" t="s">
        <v>245</v>
      </c>
      <c r="E27" s="92">
        <v>46055</v>
      </c>
      <c r="F27" s="93" t="str">
        <f t="shared" si="0"/>
        <v>⏰ Overdue (55 days)</v>
      </c>
      <c r="G27" s="93">
        <f t="shared" si="1"/>
        <v>55</v>
      </c>
      <c r="H27" s="99" t="str">
        <f t="shared" si="2"/>
        <v>🟠 High</v>
      </c>
    </row>
    <row r="28" spans="1:8" x14ac:dyDescent="0.3">
      <c r="A28" s="97" t="s">
        <v>16</v>
      </c>
      <c r="B28" s="91" t="s">
        <v>281</v>
      </c>
      <c r="C28" s="92">
        <v>46049</v>
      </c>
      <c r="D28" s="91" t="s">
        <v>250</v>
      </c>
      <c r="E28" s="92">
        <v>46056</v>
      </c>
      <c r="F28" s="93" t="str">
        <f t="shared" si="0"/>
        <v>⏰ Overdue (54 days)</v>
      </c>
      <c r="G28" s="93">
        <f t="shared" si="1"/>
        <v>54</v>
      </c>
      <c r="H28" s="99" t="str">
        <f t="shared" si="2"/>
        <v>—</v>
      </c>
    </row>
    <row r="29" spans="1:8" x14ac:dyDescent="0.3">
      <c r="A29" s="97" t="s">
        <v>76</v>
      </c>
      <c r="B29" s="91" t="s">
        <v>282</v>
      </c>
      <c r="C29" s="92">
        <v>46050</v>
      </c>
      <c r="D29" s="91" t="s">
        <v>242</v>
      </c>
      <c r="E29" s="92">
        <v>46057</v>
      </c>
      <c r="F29" s="93" t="str">
        <f t="shared" si="0"/>
        <v>⏰ Overdue (53 days)</v>
      </c>
      <c r="G29" s="93">
        <f t="shared" si="1"/>
        <v>53</v>
      </c>
      <c r="H29" s="99" t="str">
        <f t="shared" si="2"/>
        <v>🟠 High</v>
      </c>
    </row>
    <row r="30" spans="1:8" x14ac:dyDescent="0.3">
      <c r="A30" s="97" t="s">
        <v>258</v>
      </c>
      <c r="B30" s="91" t="s">
        <v>283</v>
      </c>
      <c r="C30" s="92">
        <v>46051</v>
      </c>
      <c r="D30" s="91" t="s">
        <v>284</v>
      </c>
      <c r="E30" s="92">
        <v>46058</v>
      </c>
      <c r="F30" s="93" t="str">
        <f t="shared" si="0"/>
        <v>⏰ Overdue (52 days)</v>
      </c>
      <c r="G30" s="93">
        <f t="shared" si="1"/>
        <v>52</v>
      </c>
      <c r="H30" s="99" t="str">
        <f t="shared" si="2"/>
        <v>🟠 High</v>
      </c>
    </row>
    <row r="31" spans="1:8" x14ac:dyDescent="0.3">
      <c r="A31" s="97" t="s">
        <v>62</v>
      </c>
      <c r="B31" s="91" t="s">
        <v>285</v>
      </c>
      <c r="C31" s="92">
        <v>46052</v>
      </c>
      <c r="D31" s="91" t="s">
        <v>242</v>
      </c>
      <c r="E31" s="92">
        <v>46059</v>
      </c>
      <c r="F31" s="93" t="str">
        <f t="shared" si="0"/>
        <v>⏰ Overdue (51 days)</v>
      </c>
      <c r="G31" s="93">
        <f t="shared" si="1"/>
        <v>51</v>
      </c>
      <c r="H31" s="99" t="str">
        <f t="shared" si="2"/>
        <v>🟠 High</v>
      </c>
    </row>
    <row r="32" spans="1:8" x14ac:dyDescent="0.3">
      <c r="A32" s="97" t="s">
        <v>76</v>
      </c>
      <c r="B32" s="91" t="s">
        <v>286</v>
      </c>
      <c r="C32" s="92">
        <v>46053</v>
      </c>
      <c r="D32" s="91" t="s">
        <v>252</v>
      </c>
      <c r="E32" s="92">
        <v>46060</v>
      </c>
      <c r="F32" s="93" t="str">
        <f t="shared" si="0"/>
        <v>⏰ Overdue (50 days)</v>
      </c>
      <c r="G32" s="93">
        <f t="shared" si="1"/>
        <v>50</v>
      </c>
      <c r="H32" s="99" t="str">
        <f t="shared" si="2"/>
        <v>🟠 High</v>
      </c>
    </row>
    <row r="33" spans="1:8" x14ac:dyDescent="0.3">
      <c r="A33" s="97" t="s">
        <v>287</v>
      </c>
      <c r="B33" s="91" t="s">
        <v>288</v>
      </c>
      <c r="C33" s="92">
        <v>46054</v>
      </c>
      <c r="D33" s="91" t="s">
        <v>245</v>
      </c>
      <c r="E33" s="92">
        <v>46061</v>
      </c>
      <c r="F33" s="93" t="str">
        <f t="shared" si="0"/>
        <v>⏰ Overdue (49 days)</v>
      </c>
      <c r="G33" s="93">
        <f t="shared" si="1"/>
        <v>49</v>
      </c>
      <c r="H33" s="99" t="str">
        <f t="shared" si="2"/>
        <v>🟠 High</v>
      </c>
    </row>
    <row r="34" spans="1:8" x14ac:dyDescent="0.3">
      <c r="A34" s="97" t="s">
        <v>289</v>
      </c>
      <c r="B34" s="91" t="s">
        <v>290</v>
      </c>
      <c r="C34" s="92">
        <v>46055</v>
      </c>
      <c r="D34" s="91" t="s">
        <v>252</v>
      </c>
      <c r="E34" s="92">
        <v>46062</v>
      </c>
      <c r="F34" s="93" t="str">
        <f t="shared" si="0"/>
        <v>⏰ Overdue (48 days)</v>
      </c>
      <c r="G34" s="93">
        <f t="shared" si="1"/>
        <v>48</v>
      </c>
      <c r="H34" s="99" t="str">
        <f t="shared" si="2"/>
        <v>🟠 High</v>
      </c>
    </row>
    <row r="35" spans="1:8" x14ac:dyDescent="0.3">
      <c r="A35" s="97" t="s">
        <v>54</v>
      </c>
      <c r="B35" s="91" t="s">
        <v>291</v>
      </c>
      <c r="C35" s="92">
        <v>46056</v>
      </c>
      <c r="D35" s="91" t="s">
        <v>245</v>
      </c>
      <c r="E35" s="92">
        <v>46063</v>
      </c>
      <c r="F35" s="93" t="str">
        <f t="shared" si="0"/>
        <v>⏰ Overdue (47 days)</v>
      </c>
      <c r="G35" s="93">
        <f t="shared" si="1"/>
        <v>47</v>
      </c>
      <c r="H35" s="99" t="str">
        <f t="shared" si="2"/>
        <v>🟠 High</v>
      </c>
    </row>
    <row r="36" spans="1:8" x14ac:dyDescent="0.3">
      <c r="A36" s="97" t="s">
        <v>264</v>
      </c>
      <c r="B36" s="91" t="s">
        <v>292</v>
      </c>
      <c r="C36" s="92">
        <v>46057</v>
      </c>
      <c r="D36" s="91" t="s">
        <v>245</v>
      </c>
      <c r="E36" s="92">
        <v>46064</v>
      </c>
      <c r="F36" s="93" t="str">
        <f t="shared" si="0"/>
        <v>⏰ Overdue (46 days)</v>
      </c>
      <c r="G36" s="93">
        <f t="shared" si="1"/>
        <v>46</v>
      </c>
      <c r="H36" s="99" t="str">
        <f t="shared" si="2"/>
        <v>🟠 High</v>
      </c>
    </row>
    <row r="37" spans="1:8" x14ac:dyDescent="0.3">
      <c r="A37" s="97" t="s">
        <v>262</v>
      </c>
      <c r="B37" s="91" t="s">
        <v>293</v>
      </c>
      <c r="C37" s="92">
        <v>46058</v>
      </c>
      <c r="D37" s="91" t="s">
        <v>284</v>
      </c>
      <c r="E37" s="92">
        <v>46065</v>
      </c>
      <c r="F37" s="93" t="str">
        <f t="shared" si="0"/>
        <v>⏰ Overdue (45 days)</v>
      </c>
      <c r="G37" s="93">
        <f t="shared" si="1"/>
        <v>45</v>
      </c>
      <c r="H37" s="99" t="str">
        <f t="shared" si="2"/>
        <v>🟠 High</v>
      </c>
    </row>
    <row r="38" spans="1:8" x14ac:dyDescent="0.3">
      <c r="A38" s="97" t="s">
        <v>36</v>
      </c>
      <c r="B38" s="91" t="s">
        <v>294</v>
      </c>
      <c r="C38" s="92">
        <v>46059</v>
      </c>
      <c r="D38" s="91" t="s">
        <v>250</v>
      </c>
      <c r="E38" s="92">
        <v>46066</v>
      </c>
      <c r="F38" s="93" t="str">
        <f t="shared" si="0"/>
        <v>⏰ Overdue (44 days)</v>
      </c>
      <c r="G38" s="93">
        <f t="shared" si="1"/>
        <v>44</v>
      </c>
      <c r="H38" s="99" t="str">
        <f t="shared" si="2"/>
        <v>—</v>
      </c>
    </row>
    <row r="39" spans="1:8" x14ac:dyDescent="0.3">
      <c r="A39" s="97" t="s">
        <v>268</v>
      </c>
      <c r="B39" s="91" t="s">
        <v>295</v>
      </c>
      <c r="C39" s="92">
        <v>46060</v>
      </c>
      <c r="D39" s="91" t="s">
        <v>284</v>
      </c>
      <c r="E39" s="92">
        <v>46067</v>
      </c>
      <c r="F39" s="93" t="str">
        <f t="shared" si="0"/>
        <v>⏰ Overdue (43 days)</v>
      </c>
      <c r="G39" s="93">
        <f t="shared" si="1"/>
        <v>43</v>
      </c>
      <c r="H39" s="99" t="str">
        <f t="shared" si="2"/>
        <v>🟠 High</v>
      </c>
    </row>
    <row r="40" spans="1:8" x14ac:dyDescent="0.3">
      <c r="A40" s="97" t="s">
        <v>129</v>
      </c>
      <c r="B40" s="91" t="s">
        <v>296</v>
      </c>
      <c r="C40" s="92">
        <v>46061</v>
      </c>
      <c r="D40" s="91" t="s">
        <v>245</v>
      </c>
      <c r="E40" s="92">
        <v>46068</v>
      </c>
      <c r="F40" s="93" t="str">
        <f t="shared" si="0"/>
        <v>⏰ Overdue (42 days)</v>
      </c>
      <c r="G40" s="93">
        <f t="shared" si="1"/>
        <v>42</v>
      </c>
      <c r="H40" s="99" t="str">
        <f t="shared" si="2"/>
        <v>🟠 High</v>
      </c>
    </row>
    <row r="41" spans="1:8" x14ac:dyDescent="0.3">
      <c r="A41" s="98" t="s">
        <v>258</v>
      </c>
      <c r="B41" s="94" t="s">
        <v>297</v>
      </c>
      <c r="C41" s="95">
        <v>46062</v>
      </c>
      <c r="D41" s="94" t="s">
        <v>252</v>
      </c>
      <c r="E41" s="95">
        <v>46069</v>
      </c>
      <c r="F41" s="96" t="str">
        <f t="shared" si="0"/>
        <v>⏰ Overdue (41 days)</v>
      </c>
      <c r="G41" s="96">
        <f t="shared" si="1"/>
        <v>41</v>
      </c>
      <c r="H41" s="100" t="str">
        <f t="shared" si="2"/>
        <v>🟠 High</v>
      </c>
    </row>
  </sheetData>
  <conditionalFormatting sqref="A2:F41">
    <cfRule type="expression" dxfId="15" priority="4">
      <formula>AND($E2&gt;=DATE(2026,3,29),$E2&lt;=DATE(2026,3,29)+7)</formula>
    </cfRule>
  </conditionalFormatting>
  <conditionalFormatting sqref="A2:H41">
    <cfRule type="expression" dxfId="14" priority="9">
      <formula>AND($G2&gt;=60,$D2&lt;&gt;"Closed")</formula>
    </cfRule>
  </conditionalFormatting>
  <conditionalFormatting sqref="F2:F41">
    <cfRule type="containsText" dxfId="13" priority="1" operator="containsText" text="Follow-up Due">
      <formula>NOT(ISERROR(SEARCH("Follow-up Due",F2)))</formula>
    </cfRule>
    <cfRule type="containsText" dxfId="12" priority="2" operator="containsText" text="Overdue">
      <formula>NOT(ISERROR(SEARCH("Overdue",F2)))</formula>
    </cfRule>
    <cfRule type="containsText" dxfId="11" priority="3" operator="containsText" text="Scheduled">
      <formula>NOT(ISERROR(SEARCH("Scheduled",F2)))</formula>
    </cfRule>
  </conditionalFormatting>
  <conditionalFormatting sqref="G2:G41">
    <cfRule type="dataBar" priority="8">
      <dataBar>
        <cfvo type="min"/>
        <cfvo type="max"/>
        <color rgb="FFFF6B6B"/>
      </dataBar>
      <extLst>
        <ext xmlns:x14="http://schemas.microsoft.com/office/spreadsheetml/2009/9/main" uri="{B025F937-C7B1-47D3-B67F-A62EFF666E3E}">
          <x14:id>{6ED5C935-3E45-4D10-B53D-4C01F8E2CA77}</x14:id>
        </ext>
      </extLst>
    </cfRule>
  </conditionalFormatting>
  <conditionalFormatting sqref="H2:H41">
    <cfRule type="containsText" dxfId="10" priority="5" operator="containsText" text="Critical">
      <formula>NOT(ISERROR(SEARCH("Critical",H2)))</formula>
    </cfRule>
    <cfRule type="containsText" dxfId="9" priority="6" operator="containsText" text="High">
      <formula>NOT(ISERROR(SEARCH("High",H2)))</formula>
    </cfRule>
    <cfRule type="containsText" dxfId="8" priority="7" operator="containsText" text="Medium">
      <formula>NOT(ISERROR(SEARCH("Medium",H2)))</formula>
    </cfRule>
  </conditionalFormatting>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dataBar" id="{6ED5C935-3E45-4D10-B53D-4C01F8E2CA77}">
            <x14:dataBar minLength="0" maxLength="100" border="1" direction="leftToRight" negativeBarColorSameAsPositive="1" axisPosition="none">
              <x14:cfvo type="min"/>
              <x14:cfvo type="max"/>
              <x14:borderColor rgb="FFC0392B"/>
            </x14:dataBar>
          </x14:cfRule>
          <xm:sqref>G2:G41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3EE9B-664E-46EA-8C1A-46F302EE17F9}">
  <sheetPr>
    <tabColor theme="5" tint="0.79998168889431442"/>
  </sheetPr>
  <dimension ref="A1:F36"/>
  <sheetViews>
    <sheetView workbookViewId="0"/>
  </sheetViews>
  <sheetFormatPr defaultRowHeight="14.4" x14ac:dyDescent="0.3"/>
  <cols>
    <col min="1" max="1" width="46.88671875" bestFit="1" customWidth="1"/>
    <col min="2" max="2" width="19.33203125" bestFit="1" customWidth="1"/>
    <col min="3" max="3" width="19.109375" bestFit="1" customWidth="1"/>
    <col min="4" max="4" width="21.5546875" bestFit="1" customWidth="1"/>
    <col min="5" max="5" width="17.77734375" bestFit="1" customWidth="1"/>
    <col min="6" max="6" width="18.109375" bestFit="1" customWidth="1"/>
  </cols>
  <sheetData>
    <row r="1" spans="1:6" ht="21" x14ac:dyDescent="0.4">
      <c r="A1" s="11" t="s">
        <v>626</v>
      </c>
    </row>
    <row r="2" spans="1:6" x14ac:dyDescent="0.3">
      <c r="A2" s="42" t="s">
        <v>565</v>
      </c>
    </row>
    <row r="4" spans="1:6" ht="15.6" x14ac:dyDescent="0.3">
      <c r="A4" s="109" t="s">
        <v>627</v>
      </c>
    </row>
    <row r="6" spans="1:6" x14ac:dyDescent="0.3">
      <c r="A6" s="37" t="s">
        <v>238</v>
      </c>
      <c r="B6" s="37" t="s">
        <v>628</v>
      </c>
      <c r="C6" s="37" t="s">
        <v>575</v>
      </c>
      <c r="D6" s="37" t="s">
        <v>629</v>
      </c>
      <c r="E6" s="37" t="s">
        <v>630</v>
      </c>
      <c r="F6" s="37" t="s">
        <v>631</v>
      </c>
    </row>
    <row r="7" spans="1:6" x14ac:dyDescent="0.3">
      <c r="A7" s="113" t="s">
        <v>250</v>
      </c>
      <c r="B7" s="113">
        <f>COUNTIF(Client_Followup!D:D,"Closed")</f>
        <v>11</v>
      </c>
      <c r="C7" s="114">
        <f>B7/SUM($B$7:$B$11)</f>
        <v>0.27500000000000002</v>
      </c>
      <c r="D7" s="115">
        <f>IFERROR(AVERAGEIF(Client_Followup!D:D,"Closed",Client_Followup!G:G),0)</f>
        <v>62.909090909090907</v>
      </c>
      <c r="E7" s="113">
        <f>IFERROR(_xlfn.MINIFS(Client_Followup!G:G,Client_Followup!D:D,"Closed"),0)</f>
        <v>44</v>
      </c>
      <c r="F7" s="113">
        <f>IFERROR(_xlfn.MAXIFS(Client_Followup!G:G,Client_Followup!D:D,"Closed"),0)</f>
        <v>76</v>
      </c>
    </row>
    <row r="8" spans="1:6" x14ac:dyDescent="0.3">
      <c r="A8" s="65" t="s">
        <v>284</v>
      </c>
      <c r="B8" s="65">
        <f>COUNTIF(Client_Followup!D:D,"Demo Given")</f>
        <v>3</v>
      </c>
      <c r="C8" s="68">
        <f>B8/SUM($B$7:$B$11)</f>
        <v>7.4999999999999997E-2</v>
      </c>
      <c r="D8" s="116">
        <f>IFERROR(AVERAGEIF(Client_Followup!D:D,"Demo Given",Client_Followup!G:G),0)</f>
        <v>46.666666666666664</v>
      </c>
      <c r="E8" s="65">
        <f>IFERROR(_xlfn.MINIFS(Client_Followup!G:G,Client_Followup!D:D,"Demo Given"),0)</f>
        <v>43</v>
      </c>
      <c r="F8" s="65">
        <f>IFERROR(_xlfn.MAXIFS(Client_Followup!G:G,Client_Followup!D:D,"Demo Given"),0)</f>
        <v>52</v>
      </c>
    </row>
    <row r="9" spans="1:6" x14ac:dyDescent="0.3">
      <c r="A9" s="117" t="s">
        <v>242</v>
      </c>
      <c r="B9" s="117">
        <f>COUNTIF(Client_Followup!D:D,"Follow-up")</f>
        <v>9</v>
      </c>
      <c r="C9" s="118">
        <f>B9/SUM($B$7:$B$11)</f>
        <v>0.22500000000000001</v>
      </c>
      <c r="D9" s="119">
        <f>IFERROR(AVERAGEIF(Client_Followup!D:D,"Follow-up",Client_Followup!G:G),0)</f>
        <v>67.333333333333329</v>
      </c>
      <c r="E9" s="117">
        <f>IFERROR(_xlfn.MINIFS(Client_Followup!G:G,Client_Followup!D:D,"Follow-up"),0)</f>
        <v>51</v>
      </c>
      <c r="F9" s="117">
        <f>IFERROR(_xlfn.MAXIFS(Client_Followup!G:G,Client_Followup!D:D,"Follow-up"),0)</f>
        <v>80</v>
      </c>
    </row>
    <row r="10" spans="1:6" x14ac:dyDescent="0.3">
      <c r="A10" s="120" t="s">
        <v>245</v>
      </c>
      <c r="B10" s="120">
        <f>COUNTIF(Client_Followup!D:D,"Interested")</f>
        <v>10</v>
      </c>
      <c r="C10" s="121">
        <f>B10/SUM($B$7:$B$11)</f>
        <v>0.25</v>
      </c>
      <c r="D10" s="122">
        <f>IFERROR(AVERAGEIF(Client_Followup!D:D,"Interested",Client_Followup!G:G),0)</f>
        <v>57.7</v>
      </c>
      <c r="E10" s="120">
        <f>IFERROR(_xlfn.MINIFS(Client_Followup!G:G,Client_Followup!D:D,"Interested"),0)</f>
        <v>42</v>
      </c>
      <c r="F10" s="120">
        <f>IFERROR(_xlfn.MAXIFS(Client_Followup!G:G,Client_Followup!D:D,"Interested"),0)</f>
        <v>79</v>
      </c>
    </row>
    <row r="11" spans="1:6" x14ac:dyDescent="0.3">
      <c r="A11" s="123" t="s">
        <v>252</v>
      </c>
      <c r="B11" s="123">
        <f>COUNTIF(Client_Followup!D:D,"Negotiation")</f>
        <v>7</v>
      </c>
      <c r="C11" s="124">
        <f>B11/SUM($B$7:$B$11)</f>
        <v>0.17499999999999999</v>
      </c>
      <c r="D11" s="125">
        <f>IFERROR(AVERAGEIF(Client_Followup!D:D,"Negotiation",Client_Followup!G:G),0)</f>
        <v>57.857142857142854</v>
      </c>
      <c r="E11" s="123">
        <f>IFERROR(_xlfn.MINIFS(Client_Followup!G:G,Client_Followup!D:D,"Negotiation"),0)</f>
        <v>41</v>
      </c>
      <c r="F11" s="123">
        <f>IFERROR(_xlfn.MAXIFS(Client_Followup!G:G,Client_Followup!D:D,"Negotiation"),0)</f>
        <v>75</v>
      </c>
    </row>
    <row r="12" spans="1:6" x14ac:dyDescent="0.3">
      <c r="A12" s="110" t="s">
        <v>598</v>
      </c>
      <c r="B12" s="110">
        <f>SUM(B7:B11)</f>
        <v>40</v>
      </c>
      <c r="C12" s="111">
        <f>SUM(C7:C11)</f>
        <v>1</v>
      </c>
      <c r="D12" s="112">
        <f>AVERAGE(D7:D11)</f>
        <v>58.493246753246737</v>
      </c>
      <c r="E12" s="110">
        <f>MIN(E7:E11)</f>
        <v>41</v>
      </c>
      <c r="F12" s="110">
        <f>MAX(F7:F11)</f>
        <v>80</v>
      </c>
    </row>
    <row r="14" spans="1:6" ht="15.6" x14ac:dyDescent="0.3">
      <c r="A14" s="109" t="s">
        <v>632</v>
      </c>
    </row>
    <row r="16" spans="1:6" x14ac:dyDescent="0.3">
      <c r="A16" s="37" t="s">
        <v>238</v>
      </c>
      <c r="B16" s="37" t="s">
        <v>633</v>
      </c>
      <c r="C16" s="37" t="s">
        <v>634</v>
      </c>
      <c r="D16" s="37" t="s">
        <v>635</v>
      </c>
      <c r="E16" s="37" t="s">
        <v>636</v>
      </c>
    </row>
    <row r="17" spans="1:5" x14ac:dyDescent="0.3">
      <c r="A17" s="113" t="s">
        <v>250</v>
      </c>
      <c r="B17" s="113">
        <f>COUNTIFS(Client_Followup!D:D,"Closed",Client_Followup!G:G,"&gt;=60")</f>
        <v>6</v>
      </c>
      <c r="C17" s="113">
        <f>COUNTIFS(Client_Followup!D:D,"Closed",Client_Followup!G:G,"&gt;=30",Client_Followup!G:G,"&lt;60")</f>
        <v>5</v>
      </c>
      <c r="D17" s="113">
        <f>COUNTIFS(Client_Followup!D:D,"Closed",Client_Followup!G:G,"&gt;=7",Client_Followup!G:G,"&lt;30")</f>
        <v>0</v>
      </c>
      <c r="E17" s="113">
        <f>COUNTIFS(Client_Followup!D:D,"Closed",Client_Followup!G:G,"&lt;7")</f>
        <v>0</v>
      </c>
    </row>
    <row r="18" spans="1:5" x14ac:dyDescent="0.3">
      <c r="A18" s="65" t="s">
        <v>284</v>
      </c>
      <c r="B18" s="65">
        <f>COUNTIFS(Client_Followup!D:D,"Demo Given",Client_Followup!G:G,"&gt;=60")</f>
        <v>0</v>
      </c>
      <c r="C18" s="65">
        <f>COUNTIFS(Client_Followup!D:D,"Demo Given",Client_Followup!G:G,"&gt;=30",Client_Followup!G:G,"&lt;60")</f>
        <v>3</v>
      </c>
      <c r="D18" s="65">
        <f>COUNTIFS(Client_Followup!D:D,"Demo Given",Client_Followup!G:G,"&gt;=7",Client_Followup!G:G,"&lt;30")</f>
        <v>0</v>
      </c>
      <c r="E18" s="65">
        <f>COUNTIFS(Client_Followup!D:D,"Demo Given",Client_Followup!G:G,"&lt;7")</f>
        <v>0</v>
      </c>
    </row>
    <row r="19" spans="1:5" x14ac:dyDescent="0.3">
      <c r="A19" s="117" t="s">
        <v>242</v>
      </c>
      <c r="B19" s="117">
        <f>COUNTIFS(Client_Followup!D:D,"Follow-up",Client_Followup!G:G,"&gt;=60")</f>
        <v>7</v>
      </c>
      <c r="C19" s="117">
        <f>COUNTIFS(Client_Followup!D:D,"Follow-up",Client_Followup!G:G,"&gt;=30",Client_Followup!G:G,"&lt;60")</f>
        <v>2</v>
      </c>
      <c r="D19" s="117">
        <f>COUNTIFS(Client_Followup!D:D,"Follow-up",Client_Followup!G:G,"&gt;=7",Client_Followup!G:G,"&lt;30")</f>
        <v>0</v>
      </c>
      <c r="E19" s="117">
        <f>COUNTIFS(Client_Followup!D:D,"Follow-up",Client_Followup!G:G,"&lt;7")</f>
        <v>0</v>
      </c>
    </row>
    <row r="20" spans="1:5" x14ac:dyDescent="0.3">
      <c r="A20" s="120" t="s">
        <v>245</v>
      </c>
      <c r="B20" s="120">
        <f>COUNTIFS(Client_Followup!D:D,"Interested",Client_Followup!G:G,"&gt;=60")</f>
        <v>4</v>
      </c>
      <c r="C20" s="120">
        <f>COUNTIFS(Client_Followup!D:D,"Interested",Client_Followup!G:G,"&gt;=30",Client_Followup!G:G,"&lt;60")</f>
        <v>6</v>
      </c>
      <c r="D20" s="120">
        <f>COUNTIFS(Client_Followup!D:D,"Interested",Client_Followup!G:G,"&gt;=7",Client_Followup!G:G,"&lt;30")</f>
        <v>0</v>
      </c>
      <c r="E20" s="120">
        <f>COUNTIFS(Client_Followup!D:D,"Interested",Client_Followup!G:G,"&lt;7")</f>
        <v>0</v>
      </c>
    </row>
    <row r="21" spans="1:5" x14ac:dyDescent="0.3">
      <c r="A21" s="123" t="s">
        <v>252</v>
      </c>
      <c r="B21" s="123">
        <f>COUNTIFS(Client_Followup!D:D,"Negotiation",Client_Followup!G:G,"&gt;=60")</f>
        <v>4</v>
      </c>
      <c r="C21" s="123">
        <f>COUNTIFS(Client_Followup!D:D,"Negotiation",Client_Followup!G:G,"&gt;=30",Client_Followup!G:G,"&lt;60")</f>
        <v>3</v>
      </c>
      <c r="D21" s="123">
        <f>COUNTIFS(Client_Followup!D:D,"Negotiation",Client_Followup!G:G,"&gt;=7",Client_Followup!G:G,"&lt;30")</f>
        <v>0</v>
      </c>
      <c r="E21" s="123">
        <f>COUNTIFS(Client_Followup!D:D,"Negotiation",Client_Followup!G:G,"&lt;7")</f>
        <v>0</v>
      </c>
    </row>
    <row r="22" spans="1:5" x14ac:dyDescent="0.3">
      <c r="A22" s="110" t="s">
        <v>598</v>
      </c>
      <c r="B22" s="110">
        <f>SUM(B17:B21)</f>
        <v>21</v>
      </c>
      <c r="C22" s="110">
        <f>SUM(C17:C21)</f>
        <v>19</v>
      </c>
      <c r="D22" s="110">
        <f>SUM(D17:D21)</f>
        <v>0</v>
      </c>
      <c r="E22" s="110">
        <f>SUM(E17:E21)</f>
        <v>0</v>
      </c>
    </row>
    <row r="24" spans="1:5" ht="15.6" x14ac:dyDescent="0.3">
      <c r="A24" s="109" t="s">
        <v>637</v>
      </c>
    </row>
    <row r="26" spans="1:5" x14ac:dyDescent="0.3">
      <c r="A26" s="8" t="s">
        <v>638</v>
      </c>
      <c r="B26" t="str">
        <f>INDEX(A7:A11,MATCH(MAX(B7:B11),B7:B11,0))</f>
        <v>Closed</v>
      </c>
    </row>
    <row r="27" spans="1:5" x14ac:dyDescent="0.3">
      <c r="A27" s="8" t="s">
        <v>639</v>
      </c>
      <c r="B27">
        <f>B12-COUNTIF(Client_Followup!D:D,"Closed")</f>
        <v>29</v>
      </c>
    </row>
    <row r="28" spans="1:5" x14ac:dyDescent="0.3">
      <c r="A28" s="8" t="s">
        <v>640</v>
      </c>
      <c r="B28">
        <f>COUNTIF(Client_Followup!D:D,"Closed")</f>
        <v>11</v>
      </c>
    </row>
    <row r="29" spans="1:5" x14ac:dyDescent="0.3">
      <c r="A29" s="8" t="s">
        <v>641</v>
      </c>
      <c r="B29">
        <f>COUNTIF(Client_Followup!H:H,"🔴 Critical")</f>
        <v>15</v>
      </c>
    </row>
    <row r="30" spans="1:5" x14ac:dyDescent="0.3">
      <c r="A30" s="8" t="s">
        <v>642</v>
      </c>
      <c r="B30">
        <f>COUNTIF(Client_Followup!H:H,"🟠 High")</f>
        <v>14</v>
      </c>
    </row>
    <row r="32" spans="1:5" x14ac:dyDescent="0.3">
      <c r="A32" s="126" t="s">
        <v>524</v>
      </c>
    </row>
    <row r="33" spans="1:1" x14ac:dyDescent="0.3">
      <c r="A33" s="8" t="s">
        <v>643</v>
      </c>
    </row>
    <row r="34" spans="1:1" x14ac:dyDescent="0.3">
      <c r="A34" s="8" t="s">
        <v>644</v>
      </c>
    </row>
    <row r="35" spans="1:1" x14ac:dyDescent="0.3">
      <c r="A35" s="8" t="s">
        <v>645</v>
      </c>
    </row>
    <row r="36" spans="1:1" x14ac:dyDescent="0.3">
      <c r="A36" s="8" t="s">
        <v>646</v>
      </c>
    </row>
  </sheetData>
  <conditionalFormatting sqref="B7:B11">
    <cfRule type="dataBar" priority="1">
      <dataBar>
        <cfvo type="min"/>
        <cfvo type="max"/>
        <color rgb="FF5B9BD5"/>
      </dataBar>
      <extLst>
        <ext xmlns:x14="http://schemas.microsoft.com/office/spreadsheetml/2009/9/main" uri="{B025F937-C7B1-47D3-B67F-A62EFF666E3E}">
          <x14:id>{53A89F6C-7CAE-41FC-A90A-D4A98D3DCCB7}</x14:id>
        </ext>
      </extLst>
    </cfRule>
    <cfRule type="dataBar" priority="3">
      <dataBar>
        <cfvo type="min"/>
        <cfvo type="max"/>
        <color rgb="FF5B9BD5"/>
      </dataBar>
      <extLst>
        <ext xmlns:x14="http://schemas.microsoft.com/office/spreadsheetml/2009/9/main" uri="{B025F937-C7B1-47D3-B67F-A62EFF666E3E}">
          <x14:id>{BB4475F0-70B5-4159-A646-B5FB7C34F625}</x14:id>
        </ext>
      </extLst>
    </cfRule>
  </conditionalFormatting>
  <conditionalFormatting sqref="B17:B21">
    <cfRule type="cellIs" dxfId="7" priority="4" operator="greaterThan">
      <formula>0</formula>
    </cfRule>
  </conditionalFormatting>
  <conditionalFormatting sqref="C7:C11">
    <cfRule type="colorScale" priority="2">
      <colorScale>
        <cfvo type="min"/>
        <cfvo type="max"/>
        <color rgb="FFFF7128"/>
        <color rgb="FFFFEF9C"/>
      </colorScale>
    </cfRule>
  </conditionalFormatting>
  <conditionalFormatting sqref="C17:C21">
    <cfRule type="cellIs" dxfId="6" priority="5" operator="greaterThan">
      <formula>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53A89F6C-7CAE-41FC-A90A-D4A98D3DCCB7}">
            <x14:dataBar minLength="0" maxLength="100" border="1" direction="leftToRight" negativeBarColorSameAsPositive="1" axisPosition="none">
              <x14:cfvo type="min"/>
              <x14:cfvo type="max"/>
              <x14:borderColor rgb="FF5B9BD5"/>
            </x14:dataBar>
          </x14:cfRule>
          <x14:cfRule type="dataBar" id="{BB4475F0-70B5-4159-A646-B5FB7C34F625}">
            <x14:dataBar minLength="0" maxLength="100" border="1" direction="leftToRight" negativeBarColorSameAsPositive="1" axisPosition="none">
              <x14:cfvo type="min"/>
              <x14:cfvo type="max"/>
              <x14:borderColor rgb="FF5B9BD5"/>
            </x14:dataBar>
          </x14:cfRule>
          <xm:sqref>B7:B11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sheetPr>
  <dimension ref="A1:F7"/>
  <sheetViews>
    <sheetView workbookViewId="0"/>
  </sheetViews>
  <sheetFormatPr defaultRowHeight="14.4" x14ac:dyDescent="0.3"/>
  <cols>
    <col min="1" max="1" width="11.109375" bestFit="1" customWidth="1"/>
    <col min="2" max="2" width="7" bestFit="1" customWidth="1"/>
    <col min="3" max="3" width="6.33203125" bestFit="1" customWidth="1"/>
    <col min="4" max="4" width="8.33203125" bestFit="1" customWidth="1"/>
    <col min="5" max="5" width="10.21875" bestFit="1" customWidth="1"/>
    <col min="6" max="6" width="14.33203125" bestFit="1" customWidth="1"/>
  </cols>
  <sheetData>
    <row r="1" spans="1:6" x14ac:dyDescent="0.3">
      <c r="A1" s="14" t="s">
        <v>102</v>
      </c>
      <c r="B1" s="14" t="s">
        <v>301</v>
      </c>
      <c r="C1" s="14" t="s">
        <v>302</v>
      </c>
      <c r="D1" s="14" t="s">
        <v>648</v>
      </c>
      <c r="E1" s="14" t="s">
        <v>649</v>
      </c>
      <c r="F1" s="14" t="s">
        <v>238</v>
      </c>
    </row>
    <row r="2" spans="1:6" x14ac:dyDescent="0.3">
      <c r="A2" t="s">
        <v>109</v>
      </c>
      <c r="B2">
        <v>59375</v>
      </c>
      <c r="C2">
        <v>40955</v>
      </c>
      <c r="D2" s="130">
        <f t="shared" ref="D2:D7" si="0">C2-B2</f>
        <v>-18420</v>
      </c>
      <c r="E2" s="131">
        <f t="shared" ref="E2:E7" si="1">D2/B2</f>
        <v>-0.31023157894736841</v>
      </c>
      <c r="F2" t="str">
        <f t="shared" ref="F2:F7" si="2">IF(D2&gt;0,"⚠️ Over Budget","✓ Under Budget")</f>
        <v>✓ Under Budget</v>
      </c>
    </row>
    <row r="3" spans="1:6" x14ac:dyDescent="0.3">
      <c r="A3" t="s">
        <v>122</v>
      </c>
      <c r="B3">
        <v>71817</v>
      </c>
      <c r="C3">
        <v>60111</v>
      </c>
      <c r="D3" s="130">
        <f t="shared" si="0"/>
        <v>-11706</v>
      </c>
      <c r="E3" s="131">
        <f t="shared" si="1"/>
        <v>-0.16299761894815989</v>
      </c>
      <c r="F3" t="str">
        <f t="shared" si="2"/>
        <v>✓ Under Budget</v>
      </c>
    </row>
    <row r="4" spans="1:6" x14ac:dyDescent="0.3">
      <c r="A4" t="s">
        <v>111</v>
      </c>
      <c r="B4">
        <v>61800</v>
      </c>
      <c r="C4">
        <v>27760</v>
      </c>
      <c r="D4" s="130">
        <f t="shared" si="0"/>
        <v>-34040</v>
      </c>
      <c r="E4" s="131">
        <f t="shared" si="1"/>
        <v>-0.55080906148867315</v>
      </c>
      <c r="F4" t="str">
        <f t="shared" si="2"/>
        <v>✓ Under Budget</v>
      </c>
    </row>
    <row r="5" spans="1:6" x14ac:dyDescent="0.3">
      <c r="A5" t="s">
        <v>112</v>
      </c>
      <c r="B5">
        <v>69924</v>
      </c>
      <c r="C5">
        <v>47780</v>
      </c>
      <c r="D5" s="130">
        <f t="shared" si="0"/>
        <v>-22144</v>
      </c>
      <c r="E5" s="131">
        <f t="shared" si="1"/>
        <v>-0.3166866884045535</v>
      </c>
      <c r="F5" t="str">
        <f t="shared" si="2"/>
        <v>✓ Under Budget</v>
      </c>
    </row>
    <row r="6" spans="1:6" x14ac:dyDescent="0.3">
      <c r="A6" t="s">
        <v>107</v>
      </c>
      <c r="B6">
        <v>63020</v>
      </c>
      <c r="C6">
        <v>70302</v>
      </c>
      <c r="D6" s="130">
        <f t="shared" si="0"/>
        <v>7282</v>
      </c>
      <c r="E6" s="131">
        <f t="shared" si="1"/>
        <v>0.11555061885115836</v>
      </c>
      <c r="F6" t="str">
        <f t="shared" si="2"/>
        <v>⚠️ Over Budget</v>
      </c>
    </row>
    <row r="7" spans="1:6" x14ac:dyDescent="0.3">
      <c r="A7" t="s">
        <v>114</v>
      </c>
      <c r="B7">
        <v>48568</v>
      </c>
      <c r="C7">
        <v>63330</v>
      </c>
      <c r="D7" s="130">
        <f t="shared" si="0"/>
        <v>14762</v>
      </c>
      <c r="E7" s="131">
        <f t="shared" si="1"/>
        <v>0.30394498435183659</v>
      </c>
      <c r="F7" t="str">
        <f t="shared" si="2"/>
        <v>⚠️ Over Budget</v>
      </c>
    </row>
  </sheetData>
  <conditionalFormatting sqref="B2:B7">
    <cfRule type="dataBar" priority="5">
      <dataBar>
        <cfvo type="min"/>
        <cfvo type="max"/>
        <color rgb="FF5B9BD5"/>
      </dataBar>
      <extLst>
        <ext xmlns:x14="http://schemas.microsoft.com/office/spreadsheetml/2009/9/main" uri="{B025F937-C7B1-47D3-B67F-A62EFF666E3E}">
          <x14:id>{175B2B3C-00EE-4B00-876A-86FA5E7F4544}</x14:id>
        </ext>
      </extLst>
    </cfRule>
  </conditionalFormatting>
  <conditionalFormatting sqref="C2:C7">
    <cfRule type="dataBar" priority="6">
      <dataBar>
        <cfvo type="min"/>
        <cfvo type="max"/>
        <color rgb="FF70AD47"/>
      </dataBar>
      <extLst>
        <ext xmlns:x14="http://schemas.microsoft.com/office/spreadsheetml/2009/9/main" uri="{B025F937-C7B1-47D3-B67F-A62EFF666E3E}">
          <x14:id>{576E6092-2932-414C-864D-6EF89E743248}</x14:id>
        </ext>
      </extLst>
    </cfRule>
  </conditionalFormatting>
  <conditionalFormatting sqref="D2:D7">
    <cfRule type="cellIs" dxfId="5" priority="1" operator="greaterThan">
      <formula>0</formula>
    </cfRule>
    <cfRule type="cellIs" dxfId="4" priority="2" operator="lessThanOrEqual">
      <formula>0</formula>
    </cfRule>
  </conditionalFormatting>
  <conditionalFormatting sqref="F2:F7">
    <cfRule type="containsText" dxfId="3" priority="3" operator="containsText" text="Over Budget">
      <formula>NOT(ISERROR(SEARCH("Over Budget",F2)))</formula>
    </cfRule>
    <cfRule type="containsText" dxfId="2" priority="4" operator="containsText" text="Under Budget">
      <formula>NOT(ISERROR(SEARCH("Under Budget",F2)))</formula>
    </cfRule>
  </conditionalFormatting>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dataBar" id="{175B2B3C-00EE-4B00-876A-86FA5E7F4544}">
            <x14:dataBar minLength="0" maxLength="100" border="1" direction="leftToRight" negativeBarColorSameAsPositive="1" axisPosition="none">
              <x14:cfvo type="min"/>
              <x14:cfvo type="max"/>
              <x14:borderColor rgb="FF5B9BD5"/>
            </x14:dataBar>
          </x14:cfRule>
          <xm:sqref>B2:B7</xm:sqref>
        </x14:conditionalFormatting>
        <x14:conditionalFormatting xmlns:xm="http://schemas.microsoft.com/office/excel/2006/main">
          <x14:cfRule type="dataBar" id="{576E6092-2932-414C-864D-6EF89E743248}">
            <x14:dataBar minLength="0" maxLength="100" border="1" direction="leftToRight" negativeBarColorSameAsPositive="1" axisPosition="none">
              <x14:cfvo type="min"/>
              <x14:cfvo type="max"/>
              <x14:borderColor rgb="FF70AD47"/>
            </x14:dataBar>
          </x14:cfRule>
          <xm:sqref>C2:C7</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173B5-557A-4A1D-BA64-AF3011F3F901}">
  <sheetPr>
    <tabColor theme="4" tint="0.79998168889431442"/>
  </sheetPr>
  <dimension ref="A1:E24"/>
  <sheetViews>
    <sheetView workbookViewId="0">
      <selection sqref="A1:E1"/>
    </sheetView>
  </sheetViews>
  <sheetFormatPr defaultRowHeight="14.4" x14ac:dyDescent="0.3"/>
  <cols>
    <col min="1" max="1" width="55" bestFit="1" customWidth="1"/>
    <col min="2" max="2" width="26.21875" bestFit="1" customWidth="1"/>
    <col min="3" max="3" width="8.109375" bestFit="1" customWidth="1"/>
    <col min="4" max="4" width="8.33203125" bestFit="1" customWidth="1"/>
    <col min="5" max="5" width="10.21875" bestFit="1" customWidth="1"/>
  </cols>
  <sheetData>
    <row r="1" spans="1:5" ht="21" x14ac:dyDescent="0.4">
      <c r="A1" s="156" t="s">
        <v>647</v>
      </c>
      <c r="B1" s="161"/>
      <c r="C1" s="161"/>
      <c r="D1" s="161"/>
      <c r="E1" s="161"/>
    </row>
    <row r="2" spans="1:5" x14ac:dyDescent="0.3">
      <c r="A2" s="158" t="s">
        <v>565</v>
      </c>
      <c r="B2" s="153"/>
      <c r="C2" s="153"/>
      <c r="D2" s="153"/>
      <c r="E2" s="153"/>
    </row>
    <row r="4" spans="1:5" x14ac:dyDescent="0.3">
      <c r="A4" s="71" t="s">
        <v>102</v>
      </c>
      <c r="B4" s="71" t="s">
        <v>301</v>
      </c>
      <c r="C4" s="71" t="s">
        <v>302</v>
      </c>
      <c r="D4" s="71" t="s">
        <v>648</v>
      </c>
      <c r="E4" s="71" t="s">
        <v>649</v>
      </c>
    </row>
    <row r="5" spans="1:5" x14ac:dyDescent="0.3">
      <c r="A5" s="6" t="s">
        <v>109</v>
      </c>
      <c r="B5" s="34">
        <f>Budget_vs_Actual!B2</f>
        <v>59375</v>
      </c>
      <c r="C5" s="34">
        <f>Budget_vs_Actual!C2</f>
        <v>40955</v>
      </c>
      <c r="D5" s="34">
        <f t="shared" ref="D5:D10" si="0">C5-B5</f>
        <v>-18420</v>
      </c>
      <c r="E5" s="62">
        <f t="shared" ref="E5:E11" si="1">D5/B5</f>
        <v>-0.31023157894736841</v>
      </c>
    </row>
    <row r="6" spans="1:5" x14ac:dyDescent="0.3">
      <c r="A6" s="6" t="s">
        <v>122</v>
      </c>
      <c r="B6" s="34">
        <f>Budget_vs_Actual!B3</f>
        <v>71817</v>
      </c>
      <c r="C6" s="34">
        <f>Budget_vs_Actual!C3</f>
        <v>60111</v>
      </c>
      <c r="D6" s="34">
        <f t="shared" si="0"/>
        <v>-11706</v>
      </c>
      <c r="E6" s="62">
        <f t="shared" si="1"/>
        <v>-0.16299761894815989</v>
      </c>
    </row>
    <row r="7" spans="1:5" x14ac:dyDescent="0.3">
      <c r="A7" s="6" t="s">
        <v>111</v>
      </c>
      <c r="B7" s="34">
        <f>Budget_vs_Actual!B4</f>
        <v>61800</v>
      </c>
      <c r="C7" s="34">
        <f>Budget_vs_Actual!C4</f>
        <v>27760</v>
      </c>
      <c r="D7" s="34">
        <f t="shared" si="0"/>
        <v>-34040</v>
      </c>
      <c r="E7" s="62">
        <f t="shared" si="1"/>
        <v>-0.55080906148867315</v>
      </c>
    </row>
    <row r="8" spans="1:5" x14ac:dyDescent="0.3">
      <c r="A8" s="6" t="s">
        <v>112</v>
      </c>
      <c r="B8" s="34">
        <f>Budget_vs_Actual!B5</f>
        <v>69924</v>
      </c>
      <c r="C8" s="34">
        <f>Budget_vs_Actual!C5</f>
        <v>47780</v>
      </c>
      <c r="D8" s="34">
        <f t="shared" si="0"/>
        <v>-22144</v>
      </c>
      <c r="E8" s="62">
        <f t="shared" si="1"/>
        <v>-0.3166866884045535</v>
      </c>
    </row>
    <row r="9" spans="1:5" x14ac:dyDescent="0.3">
      <c r="A9" s="6" t="s">
        <v>107</v>
      </c>
      <c r="B9" s="34">
        <f>Budget_vs_Actual!B6</f>
        <v>63020</v>
      </c>
      <c r="C9" s="34">
        <f>Budget_vs_Actual!C6</f>
        <v>70302</v>
      </c>
      <c r="D9" s="34">
        <f t="shared" si="0"/>
        <v>7282</v>
      </c>
      <c r="E9" s="62">
        <f t="shared" si="1"/>
        <v>0.11555061885115836</v>
      </c>
    </row>
    <row r="10" spans="1:5" x14ac:dyDescent="0.3">
      <c r="A10" s="6" t="s">
        <v>114</v>
      </c>
      <c r="B10" s="34">
        <f>Budget_vs_Actual!B7</f>
        <v>48568</v>
      </c>
      <c r="C10" s="34">
        <f>Budget_vs_Actual!C7</f>
        <v>63330</v>
      </c>
      <c r="D10" s="34">
        <f t="shared" si="0"/>
        <v>14762</v>
      </c>
      <c r="E10" s="62">
        <f t="shared" si="1"/>
        <v>0.30394498435183659</v>
      </c>
    </row>
    <row r="11" spans="1:5" x14ac:dyDescent="0.3">
      <c r="A11" s="85" t="s">
        <v>598</v>
      </c>
      <c r="B11" s="127">
        <f>SUM(B5:B10)</f>
        <v>374504</v>
      </c>
      <c r="C11" s="127">
        <f>SUM(C5:C10)</f>
        <v>310238</v>
      </c>
      <c r="D11" s="127">
        <f>SUM(D5:D10)</f>
        <v>-64266</v>
      </c>
      <c r="E11" s="87">
        <f t="shared" si="1"/>
        <v>-0.17160297353299298</v>
      </c>
    </row>
    <row r="13" spans="1:5" ht="18" x14ac:dyDescent="0.35">
      <c r="A13" s="159" t="s">
        <v>637</v>
      </c>
      <c r="B13" s="153"/>
      <c r="C13" s="153"/>
      <c r="D13" s="153"/>
      <c r="E13" s="153"/>
    </row>
    <row r="15" spans="1:5" x14ac:dyDescent="0.3">
      <c r="A15" s="128" t="s">
        <v>650</v>
      </c>
      <c r="B15" s="129" t="str" cm="1">
        <f t="array" ref="B15">_xlfn.TEXTJOIN(", ", TRUE, IF(D5:D10&lt;0, A5:A10, ""))</f>
        <v>Sales, Marketing, Accounts, HR</v>
      </c>
    </row>
    <row r="16" spans="1:5" x14ac:dyDescent="0.3">
      <c r="A16" s="128" t="s">
        <v>651</v>
      </c>
      <c r="B16" s="129" t="str" cm="1">
        <f t="array" ref="B16">_xlfn.TEXTJOIN(", ", TRUE, IF(D5:D10&gt;0, A5:A10, ""))</f>
        <v>IT, Admin</v>
      </c>
    </row>
    <row r="17" spans="1:5" x14ac:dyDescent="0.3">
      <c r="A17" s="128" t="s">
        <v>652</v>
      </c>
      <c r="B17" s="129" t="str">
        <f>IF(D11&gt;0, "Over Budget by ₹"&amp;TEXT(D11,"#,##0"), "Under Budget by ₹"&amp;TEXT(ABS(D11),"#,##0"))</f>
        <v>Under Budget by ₹64,266</v>
      </c>
    </row>
    <row r="18" spans="1:5" x14ac:dyDescent="0.3">
      <c r="A18" s="128" t="s">
        <v>653</v>
      </c>
      <c r="B18" s="129" t="str">
        <f>IF(MAX(D5:D10)&gt;0, INDEX(A5:A10, MATCH(MAX(D5:D10), D5:D10, 0))&amp;" (+₹"&amp;TEXT(MAX(D5:D10),"#,##0")&amp;")", "None")</f>
        <v>Admin (+₹14,762)</v>
      </c>
    </row>
    <row r="19" spans="1:5" x14ac:dyDescent="0.3">
      <c r="A19" s="128" t="s">
        <v>654</v>
      </c>
      <c r="B19" s="129" t="str">
        <f>IF(MIN(D5:D10)&lt;0, INDEX(A5:A10, MATCH(MIN(D5:D10), D5:D10, 0))&amp;" (-₹"&amp;TEXT(ABS(MIN(D5:D10)),"#,##0")&amp;")", "None")</f>
        <v>Accounts (-₹34,040)</v>
      </c>
    </row>
    <row r="21" spans="1:5" x14ac:dyDescent="0.3">
      <c r="A21" s="160" t="s">
        <v>655</v>
      </c>
      <c r="B21" s="160"/>
      <c r="C21" s="160"/>
      <c r="D21" s="160"/>
      <c r="E21" s="160"/>
    </row>
    <row r="22" spans="1:5" x14ac:dyDescent="0.3">
      <c r="A22" s="8" t="s">
        <v>656</v>
      </c>
    </row>
    <row r="23" spans="1:5" x14ac:dyDescent="0.3">
      <c r="A23" s="8" t="s">
        <v>657</v>
      </c>
    </row>
    <row r="24" spans="1:5" x14ac:dyDescent="0.3">
      <c r="A24" s="8" t="s">
        <v>658</v>
      </c>
    </row>
  </sheetData>
  <mergeCells count="4">
    <mergeCell ref="A1:E1"/>
    <mergeCell ref="A2:E2"/>
    <mergeCell ref="A13:E13"/>
    <mergeCell ref="A21:E21"/>
  </mergeCells>
  <conditionalFormatting sqref="B5:B10">
    <cfRule type="dataBar" priority="5">
      <dataBar>
        <cfvo type="min"/>
        <cfvo type="max"/>
        <color rgb="FF5B9BD5"/>
      </dataBar>
      <extLst>
        <ext xmlns:x14="http://schemas.microsoft.com/office/spreadsheetml/2009/9/main" uri="{B025F937-C7B1-47D3-B67F-A62EFF666E3E}">
          <x14:id>{86822C33-CBCF-46C6-9CF0-5E1A98E2DB83}</x14:id>
        </ext>
      </extLst>
    </cfRule>
  </conditionalFormatting>
  <conditionalFormatting sqref="C5:C10">
    <cfRule type="dataBar" priority="6">
      <dataBar>
        <cfvo type="min"/>
        <cfvo type="max"/>
        <color rgb="FF70AD47"/>
      </dataBar>
      <extLst>
        <ext xmlns:x14="http://schemas.microsoft.com/office/spreadsheetml/2009/9/main" uri="{B025F937-C7B1-47D3-B67F-A62EFF666E3E}">
          <x14:id>{93CA6605-2825-46A8-8030-6E60D7E31019}</x14:id>
        </ext>
      </extLst>
    </cfRule>
  </conditionalFormatting>
  <conditionalFormatting sqref="D5:E10">
    <cfRule type="cellIs" dxfId="1" priority="1" operator="greaterThan">
      <formula>0</formula>
    </cfRule>
    <cfRule type="cellIs" dxfId="0" priority="2" operator="lessThan">
      <formula>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6822C33-CBCF-46C6-9CF0-5E1A98E2DB83}">
            <x14:dataBar minLength="0" maxLength="100" border="1" direction="leftToRight" negativeBarColorSameAsPositive="1" axisPosition="none">
              <x14:cfvo type="min"/>
              <x14:cfvo type="max"/>
              <x14:borderColor rgb="FF5B9BD5"/>
            </x14:dataBar>
          </x14:cfRule>
          <xm:sqref>B5:B10</xm:sqref>
        </x14:conditionalFormatting>
        <x14:conditionalFormatting xmlns:xm="http://schemas.microsoft.com/office/excel/2006/main">
          <x14:cfRule type="dataBar" id="{93CA6605-2825-46A8-8030-6E60D7E31019}">
            <x14:dataBar minLength="0" maxLength="100" border="1" direction="leftToRight" negativeBarColorSameAsPositive="1" axisPosition="none">
              <x14:cfvo type="min"/>
              <x14:cfvo type="max"/>
              <x14:borderColor rgb="FF70AD47"/>
            </x14:dataBar>
          </x14:cfRule>
          <xm:sqref>C5:C10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79998168889431442"/>
  </sheetPr>
  <dimension ref="A1:D401"/>
  <sheetViews>
    <sheetView workbookViewId="0"/>
  </sheetViews>
  <sheetFormatPr defaultRowHeight="14.4" x14ac:dyDescent="0.3"/>
  <cols>
    <col min="1" max="4" width="21.77734375" customWidth="1"/>
  </cols>
  <sheetData>
    <row r="1" spans="1:4" x14ac:dyDescent="0.3">
      <c r="A1" t="s">
        <v>88</v>
      </c>
      <c r="B1" t="s">
        <v>89</v>
      </c>
      <c r="C1" t="s">
        <v>90</v>
      </c>
      <c r="D1" t="s">
        <v>91</v>
      </c>
    </row>
    <row r="2" spans="1:4" x14ac:dyDescent="0.3">
      <c r="A2" s="1">
        <v>46110</v>
      </c>
      <c r="B2" t="s">
        <v>92</v>
      </c>
      <c r="C2" t="s">
        <v>93</v>
      </c>
      <c r="D2">
        <v>51636</v>
      </c>
    </row>
    <row r="3" spans="1:4" x14ac:dyDescent="0.3">
      <c r="A3" s="1">
        <v>46073</v>
      </c>
      <c r="B3" t="s">
        <v>94</v>
      </c>
      <c r="C3" t="s">
        <v>95</v>
      </c>
      <c r="D3">
        <v>53095</v>
      </c>
    </row>
    <row r="4" spans="1:4" x14ac:dyDescent="0.3">
      <c r="A4" s="1">
        <v>46134</v>
      </c>
      <c r="B4" t="s">
        <v>94</v>
      </c>
      <c r="C4" t="s">
        <v>96</v>
      </c>
      <c r="D4">
        <v>56972</v>
      </c>
    </row>
    <row r="5" spans="1:4" x14ac:dyDescent="0.3">
      <c r="A5" s="1">
        <v>46114</v>
      </c>
      <c r="B5" t="s">
        <v>92</v>
      </c>
      <c r="C5" t="s">
        <v>96</v>
      </c>
      <c r="D5">
        <v>16696</v>
      </c>
    </row>
    <row r="6" spans="1:4" x14ac:dyDescent="0.3">
      <c r="A6" s="1">
        <v>46058</v>
      </c>
      <c r="B6" t="s">
        <v>92</v>
      </c>
      <c r="C6" t="s">
        <v>96</v>
      </c>
      <c r="D6">
        <v>9196</v>
      </c>
    </row>
    <row r="7" spans="1:4" x14ac:dyDescent="0.3">
      <c r="A7" s="1">
        <v>46105</v>
      </c>
      <c r="B7" t="s">
        <v>94</v>
      </c>
      <c r="C7" t="s">
        <v>93</v>
      </c>
      <c r="D7">
        <v>39625</v>
      </c>
    </row>
    <row r="8" spans="1:4" x14ac:dyDescent="0.3">
      <c r="A8" s="1">
        <v>46135</v>
      </c>
      <c r="B8" t="s">
        <v>97</v>
      </c>
      <c r="C8" t="s">
        <v>93</v>
      </c>
      <c r="D8">
        <v>6702</v>
      </c>
    </row>
    <row r="9" spans="1:4" x14ac:dyDescent="0.3">
      <c r="A9" s="1">
        <v>46034</v>
      </c>
      <c r="B9" t="s">
        <v>97</v>
      </c>
      <c r="C9" t="s">
        <v>93</v>
      </c>
      <c r="D9">
        <v>48570</v>
      </c>
    </row>
    <row r="10" spans="1:4" x14ac:dyDescent="0.3">
      <c r="A10" s="1">
        <v>46113</v>
      </c>
      <c r="B10" t="s">
        <v>98</v>
      </c>
      <c r="C10" t="s">
        <v>93</v>
      </c>
      <c r="D10">
        <v>24902</v>
      </c>
    </row>
    <row r="11" spans="1:4" x14ac:dyDescent="0.3">
      <c r="A11" s="1">
        <v>46134</v>
      </c>
      <c r="B11" t="s">
        <v>97</v>
      </c>
      <c r="C11" t="s">
        <v>99</v>
      </c>
      <c r="D11">
        <v>11401</v>
      </c>
    </row>
    <row r="12" spans="1:4" x14ac:dyDescent="0.3">
      <c r="A12" s="1">
        <v>46093</v>
      </c>
      <c r="B12" t="s">
        <v>94</v>
      </c>
      <c r="C12" t="s">
        <v>95</v>
      </c>
      <c r="D12">
        <v>44018</v>
      </c>
    </row>
    <row r="13" spans="1:4" x14ac:dyDescent="0.3">
      <c r="A13" s="1">
        <v>46081</v>
      </c>
      <c r="B13" t="s">
        <v>94</v>
      </c>
      <c r="C13" t="s">
        <v>95</v>
      </c>
      <c r="D13">
        <v>31000</v>
      </c>
    </row>
    <row r="14" spans="1:4" x14ac:dyDescent="0.3">
      <c r="A14" s="1">
        <v>46061</v>
      </c>
      <c r="B14" t="s">
        <v>94</v>
      </c>
      <c r="C14" t="s">
        <v>93</v>
      </c>
      <c r="D14">
        <v>3116</v>
      </c>
    </row>
    <row r="15" spans="1:4" x14ac:dyDescent="0.3">
      <c r="A15" s="1">
        <v>46094</v>
      </c>
      <c r="B15" t="s">
        <v>97</v>
      </c>
      <c r="C15" t="s">
        <v>95</v>
      </c>
      <c r="D15">
        <v>52522</v>
      </c>
    </row>
    <row r="16" spans="1:4" x14ac:dyDescent="0.3">
      <c r="A16" s="1">
        <v>46122</v>
      </c>
      <c r="B16" t="s">
        <v>98</v>
      </c>
      <c r="C16" t="s">
        <v>96</v>
      </c>
      <c r="D16">
        <v>43036</v>
      </c>
    </row>
    <row r="17" spans="1:4" x14ac:dyDescent="0.3">
      <c r="A17" s="1">
        <v>46032</v>
      </c>
      <c r="B17" t="s">
        <v>94</v>
      </c>
      <c r="C17" t="s">
        <v>96</v>
      </c>
      <c r="D17">
        <v>36246</v>
      </c>
    </row>
    <row r="18" spans="1:4" x14ac:dyDescent="0.3">
      <c r="A18" s="1">
        <v>46115</v>
      </c>
      <c r="B18" t="s">
        <v>98</v>
      </c>
      <c r="C18" t="s">
        <v>99</v>
      </c>
      <c r="D18">
        <v>44436</v>
      </c>
    </row>
    <row r="19" spans="1:4" x14ac:dyDescent="0.3">
      <c r="A19" s="1">
        <v>46104</v>
      </c>
      <c r="B19" t="s">
        <v>92</v>
      </c>
      <c r="C19" t="s">
        <v>96</v>
      </c>
      <c r="D19">
        <v>12229</v>
      </c>
    </row>
    <row r="20" spans="1:4" x14ac:dyDescent="0.3">
      <c r="A20" s="1">
        <v>46138</v>
      </c>
      <c r="B20" t="s">
        <v>94</v>
      </c>
      <c r="C20" t="s">
        <v>95</v>
      </c>
      <c r="D20">
        <v>23294</v>
      </c>
    </row>
    <row r="21" spans="1:4" x14ac:dyDescent="0.3">
      <c r="A21" s="1">
        <v>46030</v>
      </c>
      <c r="B21" t="s">
        <v>92</v>
      </c>
      <c r="C21" t="s">
        <v>95</v>
      </c>
      <c r="D21">
        <v>40592</v>
      </c>
    </row>
    <row r="22" spans="1:4" x14ac:dyDescent="0.3">
      <c r="A22" s="1">
        <v>46085</v>
      </c>
      <c r="B22" t="s">
        <v>97</v>
      </c>
      <c r="C22" t="s">
        <v>99</v>
      </c>
      <c r="D22">
        <v>57592</v>
      </c>
    </row>
    <row r="23" spans="1:4" x14ac:dyDescent="0.3">
      <c r="A23" s="1">
        <v>46085</v>
      </c>
      <c r="B23" t="s">
        <v>98</v>
      </c>
      <c r="C23" t="s">
        <v>93</v>
      </c>
      <c r="D23">
        <v>47262</v>
      </c>
    </row>
    <row r="24" spans="1:4" x14ac:dyDescent="0.3">
      <c r="A24" s="1">
        <v>46122</v>
      </c>
      <c r="B24" t="s">
        <v>94</v>
      </c>
      <c r="C24" t="s">
        <v>96</v>
      </c>
      <c r="D24">
        <v>20802</v>
      </c>
    </row>
    <row r="25" spans="1:4" x14ac:dyDescent="0.3">
      <c r="A25" s="1">
        <v>46105</v>
      </c>
      <c r="B25" t="s">
        <v>97</v>
      </c>
      <c r="C25" t="s">
        <v>95</v>
      </c>
      <c r="D25">
        <v>43678</v>
      </c>
    </row>
    <row r="26" spans="1:4" x14ac:dyDescent="0.3">
      <c r="A26" s="1">
        <v>46062</v>
      </c>
      <c r="B26" t="s">
        <v>98</v>
      </c>
      <c r="C26" t="s">
        <v>99</v>
      </c>
      <c r="D26">
        <v>43967</v>
      </c>
    </row>
    <row r="27" spans="1:4" x14ac:dyDescent="0.3">
      <c r="A27" s="1">
        <v>46113</v>
      </c>
      <c r="B27" t="s">
        <v>97</v>
      </c>
      <c r="C27" t="s">
        <v>93</v>
      </c>
      <c r="D27">
        <v>53428</v>
      </c>
    </row>
    <row r="28" spans="1:4" x14ac:dyDescent="0.3">
      <c r="A28" s="1">
        <v>46142</v>
      </c>
      <c r="B28" t="s">
        <v>92</v>
      </c>
      <c r="C28" t="s">
        <v>93</v>
      </c>
      <c r="D28">
        <v>34534</v>
      </c>
    </row>
    <row r="29" spans="1:4" x14ac:dyDescent="0.3">
      <c r="A29" s="1">
        <v>46056</v>
      </c>
      <c r="B29" t="s">
        <v>92</v>
      </c>
      <c r="C29" t="s">
        <v>96</v>
      </c>
      <c r="D29">
        <v>31049</v>
      </c>
    </row>
    <row r="30" spans="1:4" x14ac:dyDescent="0.3">
      <c r="A30" s="1">
        <v>46134</v>
      </c>
      <c r="B30" t="s">
        <v>94</v>
      </c>
      <c r="C30" t="s">
        <v>99</v>
      </c>
      <c r="D30">
        <v>39943</v>
      </c>
    </row>
    <row r="31" spans="1:4" x14ac:dyDescent="0.3">
      <c r="A31" s="1">
        <v>46085</v>
      </c>
      <c r="B31" t="s">
        <v>98</v>
      </c>
      <c r="C31" t="s">
        <v>95</v>
      </c>
      <c r="D31">
        <v>14538</v>
      </c>
    </row>
    <row r="32" spans="1:4" x14ac:dyDescent="0.3">
      <c r="A32" s="1">
        <v>46056</v>
      </c>
      <c r="B32" t="s">
        <v>94</v>
      </c>
      <c r="C32" t="s">
        <v>96</v>
      </c>
      <c r="D32">
        <v>32841</v>
      </c>
    </row>
    <row r="33" spans="1:4" x14ac:dyDescent="0.3">
      <c r="A33" s="1">
        <v>46032</v>
      </c>
      <c r="B33" t="s">
        <v>92</v>
      </c>
      <c r="C33" t="s">
        <v>99</v>
      </c>
      <c r="D33">
        <v>29274</v>
      </c>
    </row>
    <row r="34" spans="1:4" x14ac:dyDescent="0.3">
      <c r="A34" s="1">
        <v>46123</v>
      </c>
      <c r="B34" t="s">
        <v>92</v>
      </c>
      <c r="C34" t="s">
        <v>99</v>
      </c>
      <c r="D34">
        <v>24495</v>
      </c>
    </row>
    <row r="35" spans="1:4" x14ac:dyDescent="0.3">
      <c r="A35" s="1">
        <v>46040</v>
      </c>
      <c r="B35" t="s">
        <v>98</v>
      </c>
      <c r="C35" t="s">
        <v>96</v>
      </c>
      <c r="D35">
        <v>59065</v>
      </c>
    </row>
    <row r="36" spans="1:4" x14ac:dyDescent="0.3">
      <c r="A36" s="1">
        <v>46036</v>
      </c>
      <c r="B36" t="s">
        <v>92</v>
      </c>
      <c r="C36" t="s">
        <v>93</v>
      </c>
      <c r="D36">
        <v>27727</v>
      </c>
    </row>
    <row r="37" spans="1:4" x14ac:dyDescent="0.3">
      <c r="A37" s="1">
        <v>46079</v>
      </c>
      <c r="B37" t="s">
        <v>98</v>
      </c>
      <c r="C37" t="s">
        <v>95</v>
      </c>
      <c r="D37">
        <v>19860</v>
      </c>
    </row>
    <row r="38" spans="1:4" x14ac:dyDescent="0.3">
      <c r="A38" s="1">
        <v>46079</v>
      </c>
      <c r="B38" t="s">
        <v>97</v>
      </c>
      <c r="C38" t="s">
        <v>93</v>
      </c>
      <c r="D38">
        <v>18543</v>
      </c>
    </row>
    <row r="39" spans="1:4" x14ac:dyDescent="0.3">
      <c r="A39" s="1">
        <v>46076</v>
      </c>
      <c r="B39" t="s">
        <v>92</v>
      </c>
      <c r="C39" t="s">
        <v>93</v>
      </c>
      <c r="D39">
        <v>19371</v>
      </c>
    </row>
    <row r="40" spans="1:4" x14ac:dyDescent="0.3">
      <c r="A40" s="1">
        <v>46078</v>
      </c>
      <c r="B40" t="s">
        <v>98</v>
      </c>
      <c r="C40" t="s">
        <v>96</v>
      </c>
      <c r="D40">
        <v>16170</v>
      </c>
    </row>
    <row r="41" spans="1:4" x14ac:dyDescent="0.3">
      <c r="A41" s="1">
        <v>46090</v>
      </c>
      <c r="B41" t="s">
        <v>92</v>
      </c>
      <c r="C41" t="s">
        <v>93</v>
      </c>
      <c r="D41">
        <v>13862</v>
      </c>
    </row>
    <row r="42" spans="1:4" x14ac:dyDescent="0.3">
      <c r="A42" s="1">
        <v>46087</v>
      </c>
      <c r="B42" t="s">
        <v>94</v>
      </c>
      <c r="C42" t="s">
        <v>99</v>
      </c>
      <c r="D42">
        <v>8644</v>
      </c>
    </row>
    <row r="43" spans="1:4" x14ac:dyDescent="0.3">
      <c r="A43" s="1">
        <v>46088</v>
      </c>
      <c r="B43" t="s">
        <v>94</v>
      </c>
      <c r="C43" t="s">
        <v>93</v>
      </c>
      <c r="D43">
        <v>14470</v>
      </c>
    </row>
    <row r="44" spans="1:4" x14ac:dyDescent="0.3">
      <c r="A44" s="1">
        <v>46105</v>
      </c>
      <c r="B44" t="s">
        <v>97</v>
      </c>
      <c r="C44" t="s">
        <v>95</v>
      </c>
      <c r="D44">
        <v>18759</v>
      </c>
    </row>
    <row r="45" spans="1:4" x14ac:dyDescent="0.3">
      <c r="A45" s="1">
        <v>46092</v>
      </c>
      <c r="B45" t="s">
        <v>94</v>
      </c>
      <c r="C45" t="s">
        <v>93</v>
      </c>
      <c r="D45">
        <v>51524</v>
      </c>
    </row>
    <row r="46" spans="1:4" x14ac:dyDescent="0.3">
      <c r="A46" s="1">
        <v>46128</v>
      </c>
      <c r="B46" t="s">
        <v>94</v>
      </c>
      <c r="C46" t="s">
        <v>99</v>
      </c>
      <c r="D46">
        <v>26174</v>
      </c>
    </row>
    <row r="47" spans="1:4" x14ac:dyDescent="0.3">
      <c r="A47" s="1">
        <v>46107</v>
      </c>
      <c r="B47" t="s">
        <v>94</v>
      </c>
      <c r="C47" t="s">
        <v>96</v>
      </c>
      <c r="D47">
        <v>19202</v>
      </c>
    </row>
    <row r="48" spans="1:4" x14ac:dyDescent="0.3">
      <c r="A48" s="1">
        <v>46024</v>
      </c>
      <c r="B48" t="s">
        <v>98</v>
      </c>
      <c r="C48" t="s">
        <v>95</v>
      </c>
      <c r="D48">
        <v>10884</v>
      </c>
    </row>
    <row r="49" spans="1:4" x14ac:dyDescent="0.3">
      <c r="A49" s="1">
        <v>46074</v>
      </c>
      <c r="B49" t="s">
        <v>94</v>
      </c>
      <c r="C49" t="s">
        <v>95</v>
      </c>
      <c r="D49">
        <v>45503</v>
      </c>
    </row>
    <row r="50" spans="1:4" x14ac:dyDescent="0.3">
      <c r="A50" s="1">
        <v>46032</v>
      </c>
      <c r="B50" t="s">
        <v>94</v>
      </c>
      <c r="C50" t="s">
        <v>99</v>
      </c>
      <c r="D50">
        <v>2289</v>
      </c>
    </row>
    <row r="51" spans="1:4" x14ac:dyDescent="0.3">
      <c r="A51" s="1">
        <v>46087</v>
      </c>
      <c r="B51" t="s">
        <v>97</v>
      </c>
      <c r="C51" t="s">
        <v>96</v>
      </c>
      <c r="D51">
        <v>27956</v>
      </c>
    </row>
    <row r="52" spans="1:4" x14ac:dyDescent="0.3">
      <c r="A52" s="1">
        <v>46116</v>
      </c>
      <c r="B52" t="s">
        <v>94</v>
      </c>
      <c r="C52" t="s">
        <v>96</v>
      </c>
      <c r="D52">
        <v>13602</v>
      </c>
    </row>
    <row r="53" spans="1:4" x14ac:dyDescent="0.3">
      <c r="A53" s="1">
        <v>46071</v>
      </c>
      <c r="B53" t="s">
        <v>94</v>
      </c>
      <c r="C53" t="s">
        <v>95</v>
      </c>
      <c r="D53">
        <v>55266</v>
      </c>
    </row>
    <row r="54" spans="1:4" x14ac:dyDescent="0.3">
      <c r="A54" s="1">
        <v>46122</v>
      </c>
      <c r="B54" t="s">
        <v>98</v>
      </c>
      <c r="C54" t="s">
        <v>99</v>
      </c>
      <c r="D54">
        <v>37527</v>
      </c>
    </row>
    <row r="55" spans="1:4" x14ac:dyDescent="0.3">
      <c r="A55" s="1">
        <v>46033</v>
      </c>
      <c r="B55" t="s">
        <v>94</v>
      </c>
      <c r="C55" t="s">
        <v>93</v>
      </c>
      <c r="D55">
        <v>49344</v>
      </c>
    </row>
    <row r="56" spans="1:4" x14ac:dyDescent="0.3">
      <c r="A56" s="1">
        <v>46096</v>
      </c>
      <c r="B56" t="s">
        <v>92</v>
      </c>
      <c r="C56" t="s">
        <v>93</v>
      </c>
      <c r="D56">
        <v>12028</v>
      </c>
    </row>
    <row r="57" spans="1:4" x14ac:dyDescent="0.3">
      <c r="A57" s="1">
        <v>46112</v>
      </c>
      <c r="B57" t="s">
        <v>97</v>
      </c>
      <c r="C57" t="s">
        <v>95</v>
      </c>
      <c r="D57">
        <v>46865</v>
      </c>
    </row>
    <row r="58" spans="1:4" x14ac:dyDescent="0.3">
      <c r="A58" s="1">
        <v>46030</v>
      </c>
      <c r="B58" t="s">
        <v>92</v>
      </c>
      <c r="C58" t="s">
        <v>96</v>
      </c>
      <c r="D58">
        <v>20701</v>
      </c>
    </row>
    <row r="59" spans="1:4" x14ac:dyDescent="0.3">
      <c r="A59" s="1">
        <v>46096</v>
      </c>
      <c r="B59" t="s">
        <v>92</v>
      </c>
      <c r="C59" t="s">
        <v>95</v>
      </c>
      <c r="D59">
        <v>42021</v>
      </c>
    </row>
    <row r="60" spans="1:4" x14ac:dyDescent="0.3">
      <c r="A60" s="1">
        <v>46106</v>
      </c>
      <c r="B60" t="s">
        <v>98</v>
      </c>
      <c r="C60" t="s">
        <v>99</v>
      </c>
      <c r="D60">
        <v>41699</v>
      </c>
    </row>
    <row r="61" spans="1:4" x14ac:dyDescent="0.3">
      <c r="A61" s="1">
        <v>46026</v>
      </c>
      <c r="B61" t="s">
        <v>98</v>
      </c>
      <c r="C61" t="s">
        <v>93</v>
      </c>
      <c r="D61">
        <v>19027</v>
      </c>
    </row>
    <row r="62" spans="1:4" x14ac:dyDescent="0.3">
      <c r="A62" s="1">
        <v>46066</v>
      </c>
      <c r="B62" t="s">
        <v>92</v>
      </c>
      <c r="C62" t="s">
        <v>99</v>
      </c>
      <c r="D62">
        <v>2007</v>
      </c>
    </row>
    <row r="63" spans="1:4" x14ac:dyDescent="0.3">
      <c r="A63" s="1">
        <v>46089</v>
      </c>
      <c r="B63" t="s">
        <v>97</v>
      </c>
      <c r="C63" t="s">
        <v>99</v>
      </c>
      <c r="D63">
        <v>50404</v>
      </c>
    </row>
    <row r="64" spans="1:4" x14ac:dyDescent="0.3">
      <c r="A64" s="1">
        <v>46029</v>
      </c>
      <c r="B64" t="s">
        <v>98</v>
      </c>
      <c r="C64" t="s">
        <v>99</v>
      </c>
      <c r="D64">
        <v>10820</v>
      </c>
    </row>
    <row r="65" spans="1:4" x14ac:dyDescent="0.3">
      <c r="A65" s="1">
        <v>46103</v>
      </c>
      <c r="B65" t="s">
        <v>94</v>
      </c>
      <c r="C65" t="s">
        <v>96</v>
      </c>
      <c r="D65">
        <v>23145</v>
      </c>
    </row>
    <row r="66" spans="1:4" x14ac:dyDescent="0.3">
      <c r="A66" s="1">
        <v>46099</v>
      </c>
      <c r="B66" t="s">
        <v>94</v>
      </c>
      <c r="C66" t="s">
        <v>96</v>
      </c>
      <c r="D66">
        <v>45900</v>
      </c>
    </row>
    <row r="67" spans="1:4" x14ac:dyDescent="0.3">
      <c r="A67" s="1">
        <v>46066</v>
      </c>
      <c r="B67" t="s">
        <v>97</v>
      </c>
      <c r="C67" t="s">
        <v>95</v>
      </c>
      <c r="D67">
        <v>2010</v>
      </c>
    </row>
    <row r="68" spans="1:4" x14ac:dyDescent="0.3">
      <c r="A68" s="1">
        <v>46045</v>
      </c>
      <c r="B68" t="s">
        <v>97</v>
      </c>
      <c r="C68" t="s">
        <v>93</v>
      </c>
      <c r="D68">
        <v>13920</v>
      </c>
    </row>
    <row r="69" spans="1:4" x14ac:dyDescent="0.3">
      <c r="A69" s="1">
        <v>46104</v>
      </c>
      <c r="B69" t="s">
        <v>92</v>
      </c>
      <c r="C69" t="s">
        <v>93</v>
      </c>
      <c r="D69">
        <v>21293</v>
      </c>
    </row>
    <row r="70" spans="1:4" x14ac:dyDescent="0.3">
      <c r="A70" s="1">
        <v>46126</v>
      </c>
      <c r="B70" t="s">
        <v>98</v>
      </c>
      <c r="C70" t="s">
        <v>99</v>
      </c>
      <c r="D70">
        <v>47939</v>
      </c>
    </row>
    <row r="71" spans="1:4" x14ac:dyDescent="0.3">
      <c r="A71" s="1">
        <v>46141</v>
      </c>
      <c r="B71" t="s">
        <v>98</v>
      </c>
      <c r="C71" t="s">
        <v>95</v>
      </c>
      <c r="D71">
        <v>38673</v>
      </c>
    </row>
    <row r="72" spans="1:4" x14ac:dyDescent="0.3">
      <c r="A72" s="1">
        <v>46117</v>
      </c>
      <c r="B72" t="s">
        <v>92</v>
      </c>
      <c r="C72" t="s">
        <v>93</v>
      </c>
      <c r="D72">
        <v>29358</v>
      </c>
    </row>
    <row r="73" spans="1:4" x14ac:dyDescent="0.3">
      <c r="A73" s="1">
        <v>46134</v>
      </c>
      <c r="B73" t="s">
        <v>94</v>
      </c>
      <c r="C73" t="s">
        <v>99</v>
      </c>
      <c r="D73">
        <v>47929</v>
      </c>
    </row>
    <row r="74" spans="1:4" x14ac:dyDescent="0.3">
      <c r="A74" s="1">
        <v>46135</v>
      </c>
      <c r="B74" t="s">
        <v>97</v>
      </c>
      <c r="C74" t="s">
        <v>96</v>
      </c>
      <c r="D74">
        <v>57689</v>
      </c>
    </row>
    <row r="75" spans="1:4" x14ac:dyDescent="0.3">
      <c r="A75" s="1">
        <v>46073</v>
      </c>
      <c r="B75" t="s">
        <v>94</v>
      </c>
      <c r="C75" t="s">
        <v>95</v>
      </c>
      <c r="D75">
        <v>53887</v>
      </c>
    </row>
    <row r="76" spans="1:4" x14ac:dyDescent="0.3">
      <c r="A76" s="1">
        <v>46088</v>
      </c>
      <c r="B76" t="s">
        <v>98</v>
      </c>
      <c r="C76" t="s">
        <v>99</v>
      </c>
      <c r="D76">
        <v>8635</v>
      </c>
    </row>
    <row r="77" spans="1:4" x14ac:dyDescent="0.3">
      <c r="A77" s="1">
        <v>46070</v>
      </c>
      <c r="B77" t="s">
        <v>94</v>
      </c>
      <c r="C77" t="s">
        <v>96</v>
      </c>
      <c r="D77">
        <v>6778</v>
      </c>
    </row>
    <row r="78" spans="1:4" x14ac:dyDescent="0.3">
      <c r="A78" s="1">
        <v>46074</v>
      </c>
      <c r="B78" t="s">
        <v>94</v>
      </c>
      <c r="C78" t="s">
        <v>95</v>
      </c>
      <c r="D78">
        <v>49697</v>
      </c>
    </row>
    <row r="79" spans="1:4" x14ac:dyDescent="0.3">
      <c r="A79" s="1">
        <v>46143</v>
      </c>
      <c r="B79" t="s">
        <v>97</v>
      </c>
      <c r="C79" t="s">
        <v>95</v>
      </c>
      <c r="D79">
        <v>18357</v>
      </c>
    </row>
    <row r="80" spans="1:4" x14ac:dyDescent="0.3">
      <c r="A80" s="1">
        <v>46037</v>
      </c>
      <c r="B80" t="s">
        <v>94</v>
      </c>
      <c r="C80" t="s">
        <v>96</v>
      </c>
      <c r="D80">
        <v>15843</v>
      </c>
    </row>
    <row r="81" spans="1:4" x14ac:dyDescent="0.3">
      <c r="A81" s="1">
        <v>46030</v>
      </c>
      <c r="B81" t="s">
        <v>94</v>
      </c>
      <c r="C81" t="s">
        <v>95</v>
      </c>
      <c r="D81">
        <v>58101</v>
      </c>
    </row>
    <row r="82" spans="1:4" x14ac:dyDescent="0.3">
      <c r="A82" s="1">
        <v>46120</v>
      </c>
      <c r="B82" t="s">
        <v>97</v>
      </c>
      <c r="C82" t="s">
        <v>95</v>
      </c>
      <c r="D82">
        <v>17804</v>
      </c>
    </row>
    <row r="83" spans="1:4" x14ac:dyDescent="0.3">
      <c r="A83" s="1">
        <v>46106</v>
      </c>
      <c r="B83" t="s">
        <v>97</v>
      </c>
      <c r="C83" t="s">
        <v>96</v>
      </c>
      <c r="D83">
        <v>16687</v>
      </c>
    </row>
    <row r="84" spans="1:4" x14ac:dyDescent="0.3">
      <c r="A84" s="1">
        <v>46025</v>
      </c>
      <c r="B84" t="s">
        <v>94</v>
      </c>
      <c r="C84" t="s">
        <v>99</v>
      </c>
      <c r="D84">
        <v>57720</v>
      </c>
    </row>
    <row r="85" spans="1:4" x14ac:dyDescent="0.3">
      <c r="A85" s="1">
        <v>46114</v>
      </c>
      <c r="B85" t="s">
        <v>92</v>
      </c>
      <c r="C85" t="s">
        <v>95</v>
      </c>
      <c r="D85">
        <v>59158</v>
      </c>
    </row>
    <row r="86" spans="1:4" x14ac:dyDescent="0.3">
      <c r="A86" s="1">
        <v>46079</v>
      </c>
      <c r="B86" t="s">
        <v>97</v>
      </c>
      <c r="C86" t="s">
        <v>95</v>
      </c>
      <c r="D86">
        <v>6325</v>
      </c>
    </row>
    <row r="87" spans="1:4" x14ac:dyDescent="0.3">
      <c r="A87" s="1">
        <v>46074</v>
      </c>
      <c r="B87" t="s">
        <v>97</v>
      </c>
      <c r="C87" t="s">
        <v>93</v>
      </c>
      <c r="D87">
        <v>23730</v>
      </c>
    </row>
    <row r="88" spans="1:4" x14ac:dyDescent="0.3">
      <c r="A88" s="1">
        <v>46104</v>
      </c>
      <c r="B88" t="s">
        <v>92</v>
      </c>
      <c r="C88" t="s">
        <v>93</v>
      </c>
      <c r="D88">
        <v>5714</v>
      </c>
    </row>
    <row r="89" spans="1:4" x14ac:dyDescent="0.3">
      <c r="A89" s="1">
        <v>46089</v>
      </c>
      <c r="B89" t="s">
        <v>98</v>
      </c>
      <c r="C89" t="s">
        <v>99</v>
      </c>
      <c r="D89">
        <v>31532</v>
      </c>
    </row>
    <row r="90" spans="1:4" x14ac:dyDescent="0.3">
      <c r="A90" s="1">
        <v>46105</v>
      </c>
      <c r="B90" t="s">
        <v>92</v>
      </c>
      <c r="C90" t="s">
        <v>93</v>
      </c>
      <c r="D90">
        <v>24851</v>
      </c>
    </row>
    <row r="91" spans="1:4" x14ac:dyDescent="0.3">
      <c r="A91" s="1">
        <v>46069</v>
      </c>
      <c r="B91" t="s">
        <v>97</v>
      </c>
      <c r="C91" t="s">
        <v>99</v>
      </c>
      <c r="D91">
        <v>38962</v>
      </c>
    </row>
    <row r="92" spans="1:4" x14ac:dyDescent="0.3">
      <c r="A92" s="1">
        <v>46100</v>
      </c>
      <c r="B92" t="s">
        <v>97</v>
      </c>
      <c r="C92" t="s">
        <v>99</v>
      </c>
      <c r="D92">
        <v>20487</v>
      </c>
    </row>
    <row r="93" spans="1:4" x14ac:dyDescent="0.3">
      <c r="A93" s="1">
        <v>46130</v>
      </c>
      <c r="B93" t="s">
        <v>92</v>
      </c>
      <c r="C93" t="s">
        <v>99</v>
      </c>
      <c r="D93">
        <v>16758</v>
      </c>
    </row>
    <row r="94" spans="1:4" x14ac:dyDescent="0.3">
      <c r="A94" s="1">
        <v>46060</v>
      </c>
      <c r="B94" t="s">
        <v>92</v>
      </c>
      <c r="C94" t="s">
        <v>99</v>
      </c>
      <c r="D94">
        <v>20441</v>
      </c>
    </row>
    <row r="95" spans="1:4" x14ac:dyDescent="0.3">
      <c r="A95" s="1">
        <v>46139</v>
      </c>
      <c r="B95" t="s">
        <v>92</v>
      </c>
      <c r="C95" t="s">
        <v>95</v>
      </c>
      <c r="D95">
        <v>45720</v>
      </c>
    </row>
    <row r="96" spans="1:4" x14ac:dyDescent="0.3">
      <c r="A96" s="1">
        <v>46085</v>
      </c>
      <c r="B96" t="s">
        <v>94</v>
      </c>
      <c r="C96" t="s">
        <v>93</v>
      </c>
      <c r="D96">
        <v>47084</v>
      </c>
    </row>
    <row r="97" spans="1:4" x14ac:dyDescent="0.3">
      <c r="A97" s="1">
        <v>46125</v>
      </c>
      <c r="B97" t="s">
        <v>92</v>
      </c>
      <c r="C97" t="s">
        <v>99</v>
      </c>
      <c r="D97">
        <v>6540</v>
      </c>
    </row>
    <row r="98" spans="1:4" x14ac:dyDescent="0.3">
      <c r="A98" s="1">
        <v>46036</v>
      </c>
      <c r="B98" t="s">
        <v>97</v>
      </c>
      <c r="C98" t="s">
        <v>95</v>
      </c>
      <c r="D98">
        <v>18883</v>
      </c>
    </row>
    <row r="99" spans="1:4" x14ac:dyDescent="0.3">
      <c r="A99" s="1">
        <v>46074</v>
      </c>
      <c r="B99" t="s">
        <v>97</v>
      </c>
      <c r="C99" t="s">
        <v>95</v>
      </c>
      <c r="D99">
        <v>7235</v>
      </c>
    </row>
    <row r="100" spans="1:4" x14ac:dyDescent="0.3">
      <c r="A100" s="1">
        <v>46033</v>
      </c>
      <c r="B100" t="s">
        <v>94</v>
      </c>
      <c r="C100" t="s">
        <v>96</v>
      </c>
      <c r="D100">
        <v>31524</v>
      </c>
    </row>
    <row r="101" spans="1:4" x14ac:dyDescent="0.3">
      <c r="A101" s="1">
        <v>46031</v>
      </c>
      <c r="B101" t="s">
        <v>94</v>
      </c>
      <c r="C101" t="s">
        <v>95</v>
      </c>
      <c r="D101">
        <v>4774</v>
      </c>
    </row>
    <row r="102" spans="1:4" x14ac:dyDescent="0.3">
      <c r="A102" s="1">
        <v>46071</v>
      </c>
      <c r="B102" t="s">
        <v>97</v>
      </c>
      <c r="C102" t="s">
        <v>95</v>
      </c>
      <c r="D102">
        <v>4828</v>
      </c>
    </row>
    <row r="103" spans="1:4" x14ac:dyDescent="0.3">
      <c r="A103" s="1">
        <v>46067</v>
      </c>
      <c r="B103" t="s">
        <v>94</v>
      </c>
      <c r="C103" t="s">
        <v>96</v>
      </c>
      <c r="D103">
        <v>39905</v>
      </c>
    </row>
    <row r="104" spans="1:4" x14ac:dyDescent="0.3">
      <c r="A104" s="1">
        <v>46052</v>
      </c>
      <c r="B104" t="s">
        <v>92</v>
      </c>
      <c r="C104" t="s">
        <v>96</v>
      </c>
      <c r="D104">
        <v>37983</v>
      </c>
    </row>
    <row r="105" spans="1:4" x14ac:dyDescent="0.3">
      <c r="A105" s="1">
        <v>46087</v>
      </c>
      <c r="B105" t="s">
        <v>92</v>
      </c>
      <c r="C105" t="s">
        <v>95</v>
      </c>
      <c r="D105">
        <v>7034</v>
      </c>
    </row>
    <row r="106" spans="1:4" x14ac:dyDescent="0.3">
      <c r="A106" s="1">
        <v>46143</v>
      </c>
      <c r="B106" t="s">
        <v>92</v>
      </c>
      <c r="C106" t="s">
        <v>95</v>
      </c>
      <c r="D106">
        <v>40711</v>
      </c>
    </row>
    <row r="107" spans="1:4" x14ac:dyDescent="0.3">
      <c r="A107" s="1">
        <v>46092</v>
      </c>
      <c r="B107" t="s">
        <v>97</v>
      </c>
      <c r="C107" t="s">
        <v>96</v>
      </c>
      <c r="D107">
        <v>25484</v>
      </c>
    </row>
    <row r="108" spans="1:4" x14ac:dyDescent="0.3">
      <c r="A108" s="1">
        <v>46123</v>
      </c>
      <c r="B108" t="s">
        <v>98</v>
      </c>
      <c r="C108" t="s">
        <v>96</v>
      </c>
      <c r="D108">
        <v>6218</v>
      </c>
    </row>
    <row r="109" spans="1:4" x14ac:dyDescent="0.3">
      <c r="A109" s="1">
        <v>46068</v>
      </c>
      <c r="B109" t="s">
        <v>92</v>
      </c>
      <c r="C109" t="s">
        <v>95</v>
      </c>
      <c r="D109">
        <v>33860</v>
      </c>
    </row>
    <row r="110" spans="1:4" x14ac:dyDescent="0.3">
      <c r="A110" s="1">
        <v>46076</v>
      </c>
      <c r="B110" t="s">
        <v>98</v>
      </c>
      <c r="C110" t="s">
        <v>99</v>
      </c>
      <c r="D110">
        <v>57765</v>
      </c>
    </row>
    <row r="111" spans="1:4" x14ac:dyDescent="0.3">
      <c r="A111" s="1">
        <v>46069</v>
      </c>
      <c r="B111" t="s">
        <v>98</v>
      </c>
      <c r="C111" t="s">
        <v>99</v>
      </c>
      <c r="D111">
        <v>30156</v>
      </c>
    </row>
    <row r="112" spans="1:4" x14ac:dyDescent="0.3">
      <c r="A112" s="1">
        <v>46124</v>
      </c>
      <c r="B112" t="s">
        <v>97</v>
      </c>
      <c r="C112" t="s">
        <v>93</v>
      </c>
      <c r="D112">
        <v>28775</v>
      </c>
    </row>
    <row r="113" spans="1:4" x14ac:dyDescent="0.3">
      <c r="A113" s="1">
        <v>46031</v>
      </c>
      <c r="B113" t="s">
        <v>94</v>
      </c>
      <c r="C113" t="s">
        <v>93</v>
      </c>
      <c r="D113">
        <v>58838</v>
      </c>
    </row>
    <row r="114" spans="1:4" x14ac:dyDescent="0.3">
      <c r="A114" s="1">
        <v>46082</v>
      </c>
      <c r="B114" t="s">
        <v>98</v>
      </c>
      <c r="C114" t="s">
        <v>96</v>
      </c>
      <c r="D114">
        <v>55005</v>
      </c>
    </row>
    <row r="115" spans="1:4" x14ac:dyDescent="0.3">
      <c r="A115" s="1">
        <v>46051</v>
      </c>
      <c r="B115" t="s">
        <v>94</v>
      </c>
      <c r="C115" t="s">
        <v>96</v>
      </c>
      <c r="D115">
        <v>50462</v>
      </c>
    </row>
    <row r="116" spans="1:4" x14ac:dyDescent="0.3">
      <c r="A116" s="1">
        <v>46132</v>
      </c>
      <c r="B116" t="s">
        <v>98</v>
      </c>
      <c r="C116" t="s">
        <v>96</v>
      </c>
      <c r="D116">
        <v>18215</v>
      </c>
    </row>
    <row r="117" spans="1:4" x14ac:dyDescent="0.3">
      <c r="A117" s="1">
        <v>46024</v>
      </c>
      <c r="B117" t="s">
        <v>92</v>
      </c>
      <c r="C117" t="s">
        <v>95</v>
      </c>
      <c r="D117">
        <v>23439</v>
      </c>
    </row>
    <row r="118" spans="1:4" x14ac:dyDescent="0.3">
      <c r="A118" s="1">
        <v>46050</v>
      </c>
      <c r="B118" t="s">
        <v>97</v>
      </c>
      <c r="C118" t="s">
        <v>96</v>
      </c>
      <c r="D118">
        <v>40167</v>
      </c>
    </row>
    <row r="119" spans="1:4" x14ac:dyDescent="0.3">
      <c r="A119" s="1">
        <v>46059</v>
      </c>
      <c r="B119" t="s">
        <v>98</v>
      </c>
      <c r="C119" t="s">
        <v>95</v>
      </c>
      <c r="D119">
        <v>17311</v>
      </c>
    </row>
    <row r="120" spans="1:4" x14ac:dyDescent="0.3">
      <c r="A120" s="1">
        <v>46114</v>
      </c>
      <c r="B120" t="s">
        <v>97</v>
      </c>
      <c r="C120" t="s">
        <v>99</v>
      </c>
      <c r="D120">
        <v>36413</v>
      </c>
    </row>
    <row r="121" spans="1:4" x14ac:dyDescent="0.3">
      <c r="A121" s="1">
        <v>46062</v>
      </c>
      <c r="B121" t="s">
        <v>94</v>
      </c>
      <c r="C121" t="s">
        <v>96</v>
      </c>
      <c r="D121">
        <v>11759</v>
      </c>
    </row>
    <row r="122" spans="1:4" x14ac:dyDescent="0.3">
      <c r="A122" s="1">
        <v>46096</v>
      </c>
      <c r="B122" t="s">
        <v>94</v>
      </c>
      <c r="C122" t="s">
        <v>93</v>
      </c>
      <c r="D122">
        <v>12995</v>
      </c>
    </row>
    <row r="123" spans="1:4" x14ac:dyDescent="0.3">
      <c r="A123" s="1">
        <v>46052</v>
      </c>
      <c r="B123" t="s">
        <v>97</v>
      </c>
      <c r="C123" t="s">
        <v>95</v>
      </c>
      <c r="D123">
        <v>10337</v>
      </c>
    </row>
    <row r="124" spans="1:4" x14ac:dyDescent="0.3">
      <c r="A124" s="1">
        <v>46111</v>
      </c>
      <c r="B124" t="s">
        <v>92</v>
      </c>
      <c r="C124" t="s">
        <v>95</v>
      </c>
      <c r="D124">
        <v>36887</v>
      </c>
    </row>
    <row r="125" spans="1:4" x14ac:dyDescent="0.3">
      <c r="A125" s="1">
        <v>46075</v>
      </c>
      <c r="B125" t="s">
        <v>97</v>
      </c>
      <c r="C125" t="s">
        <v>95</v>
      </c>
      <c r="D125">
        <v>59897</v>
      </c>
    </row>
    <row r="126" spans="1:4" x14ac:dyDescent="0.3">
      <c r="A126" s="1">
        <v>46140</v>
      </c>
      <c r="B126" t="s">
        <v>98</v>
      </c>
      <c r="C126" t="s">
        <v>95</v>
      </c>
      <c r="D126">
        <v>59009</v>
      </c>
    </row>
    <row r="127" spans="1:4" x14ac:dyDescent="0.3">
      <c r="A127" s="1">
        <v>46033</v>
      </c>
      <c r="B127" t="s">
        <v>98</v>
      </c>
      <c r="C127" t="s">
        <v>95</v>
      </c>
      <c r="D127">
        <v>33989</v>
      </c>
    </row>
    <row r="128" spans="1:4" x14ac:dyDescent="0.3">
      <c r="A128" s="1">
        <v>46076</v>
      </c>
      <c r="B128" t="s">
        <v>98</v>
      </c>
      <c r="C128" t="s">
        <v>96</v>
      </c>
      <c r="D128">
        <v>27231</v>
      </c>
    </row>
    <row r="129" spans="1:4" x14ac:dyDescent="0.3">
      <c r="A129" s="1">
        <v>46138</v>
      </c>
      <c r="B129" t="s">
        <v>94</v>
      </c>
      <c r="C129" t="s">
        <v>95</v>
      </c>
      <c r="D129">
        <v>46393</v>
      </c>
    </row>
    <row r="130" spans="1:4" x14ac:dyDescent="0.3">
      <c r="A130" s="1">
        <v>46140</v>
      </c>
      <c r="B130" t="s">
        <v>94</v>
      </c>
      <c r="C130" t="s">
        <v>93</v>
      </c>
      <c r="D130">
        <v>42907</v>
      </c>
    </row>
    <row r="131" spans="1:4" x14ac:dyDescent="0.3">
      <c r="A131" s="1">
        <v>46046</v>
      </c>
      <c r="B131" t="s">
        <v>92</v>
      </c>
      <c r="C131" t="s">
        <v>95</v>
      </c>
      <c r="D131">
        <v>48430</v>
      </c>
    </row>
    <row r="132" spans="1:4" x14ac:dyDescent="0.3">
      <c r="A132" s="1">
        <v>46102</v>
      </c>
      <c r="B132" t="s">
        <v>97</v>
      </c>
      <c r="C132" t="s">
        <v>96</v>
      </c>
      <c r="D132">
        <v>25704</v>
      </c>
    </row>
    <row r="133" spans="1:4" x14ac:dyDescent="0.3">
      <c r="A133" s="1">
        <v>46136</v>
      </c>
      <c r="B133" t="s">
        <v>94</v>
      </c>
      <c r="C133" t="s">
        <v>93</v>
      </c>
      <c r="D133">
        <v>27970</v>
      </c>
    </row>
    <row r="134" spans="1:4" x14ac:dyDescent="0.3">
      <c r="A134" s="1">
        <v>46143</v>
      </c>
      <c r="B134" t="s">
        <v>97</v>
      </c>
      <c r="C134" t="s">
        <v>93</v>
      </c>
      <c r="D134">
        <v>43350</v>
      </c>
    </row>
    <row r="135" spans="1:4" x14ac:dyDescent="0.3">
      <c r="A135" s="1">
        <v>46118</v>
      </c>
      <c r="B135" t="s">
        <v>98</v>
      </c>
      <c r="C135" t="s">
        <v>93</v>
      </c>
      <c r="D135">
        <v>58734</v>
      </c>
    </row>
    <row r="136" spans="1:4" x14ac:dyDescent="0.3">
      <c r="A136" s="1">
        <v>46047</v>
      </c>
      <c r="B136" t="s">
        <v>97</v>
      </c>
      <c r="C136" t="s">
        <v>96</v>
      </c>
      <c r="D136">
        <v>27747</v>
      </c>
    </row>
    <row r="137" spans="1:4" x14ac:dyDescent="0.3">
      <c r="A137" s="1">
        <v>46110</v>
      </c>
      <c r="B137" t="s">
        <v>98</v>
      </c>
      <c r="C137" t="s">
        <v>99</v>
      </c>
      <c r="D137">
        <v>13493</v>
      </c>
    </row>
    <row r="138" spans="1:4" x14ac:dyDescent="0.3">
      <c r="A138" s="1">
        <v>46066</v>
      </c>
      <c r="B138" t="s">
        <v>92</v>
      </c>
      <c r="C138" t="s">
        <v>95</v>
      </c>
      <c r="D138">
        <v>8058</v>
      </c>
    </row>
    <row r="139" spans="1:4" x14ac:dyDescent="0.3">
      <c r="A139" s="1">
        <v>46127</v>
      </c>
      <c r="B139" t="s">
        <v>94</v>
      </c>
      <c r="C139" t="s">
        <v>96</v>
      </c>
      <c r="D139">
        <v>26832</v>
      </c>
    </row>
    <row r="140" spans="1:4" x14ac:dyDescent="0.3">
      <c r="A140" s="1">
        <v>46024</v>
      </c>
      <c r="B140" t="s">
        <v>98</v>
      </c>
      <c r="C140" t="s">
        <v>96</v>
      </c>
      <c r="D140">
        <v>5531</v>
      </c>
    </row>
    <row r="141" spans="1:4" x14ac:dyDescent="0.3">
      <c r="A141" s="1">
        <v>46141</v>
      </c>
      <c r="B141" t="s">
        <v>92</v>
      </c>
      <c r="C141" t="s">
        <v>95</v>
      </c>
      <c r="D141">
        <v>6080</v>
      </c>
    </row>
    <row r="142" spans="1:4" x14ac:dyDescent="0.3">
      <c r="A142" s="1">
        <v>46086</v>
      </c>
      <c r="B142" t="s">
        <v>98</v>
      </c>
      <c r="C142" t="s">
        <v>99</v>
      </c>
      <c r="D142">
        <v>25823</v>
      </c>
    </row>
    <row r="143" spans="1:4" x14ac:dyDescent="0.3">
      <c r="A143" s="1">
        <v>46032</v>
      </c>
      <c r="B143" t="s">
        <v>97</v>
      </c>
      <c r="C143" t="s">
        <v>96</v>
      </c>
      <c r="D143">
        <v>42623</v>
      </c>
    </row>
    <row r="144" spans="1:4" x14ac:dyDescent="0.3">
      <c r="A144" s="1">
        <v>46093</v>
      </c>
      <c r="B144" t="s">
        <v>92</v>
      </c>
      <c r="C144" t="s">
        <v>99</v>
      </c>
      <c r="D144">
        <v>5108</v>
      </c>
    </row>
    <row r="145" spans="1:4" x14ac:dyDescent="0.3">
      <c r="A145" s="1">
        <v>46067</v>
      </c>
      <c r="B145" t="s">
        <v>97</v>
      </c>
      <c r="C145" t="s">
        <v>99</v>
      </c>
      <c r="D145">
        <v>14529</v>
      </c>
    </row>
    <row r="146" spans="1:4" x14ac:dyDescent="0.3">
      <c r="A146" s="1">
        <v>46054</v>
      </c>
      <c r="B146" t="s">
        <v>98</v>
      </c>
      <c r="C146" t="s">
        <v>99</v>
      </c>
      <c r="D146">
        <v>42821</v>
      </c>
    </row>
    <row r="147" spans="1:4" x14ac:dyDescent="0.3">
      <c r="A147" s="1">
        <v>46027</v>
      </c>
      <c r="B147" t="s">
        <v>94</v>
      </c>
      <c r="C147" t="s">
        <v>96</v>
      </c>
      <c r="D147">
        <v>24259</v>
      </c>
    </row>
    <row r="148" spans="1:4" x14ac:dyDescent="0.3">
      <c r="A148" s="1">
        <v>46136</v>
      </c>
      <c r="B148" t="s">
        <v>94</v>
      </c>
      <c r="C148" t="s">
        <v>96</v>
      </c>
      <c r="D148">
        <v>16932</v>
      </c>
    </row>
    <row r="149" spans="1:4" x14ac:dyDescent="0.3">
      <c r="A149" s="1">
        <v>46068</v>
      </c>
      <c r="B149" t="s">
        <v>92</v>
      </c>
      <c r="C149" t="s">
        <v>95</v>
      </c>
      <c r="D149">
        <v>24328</v>
      </c>
    </row>
    <row r="150" spans="1:4" x14ac:dyDescent="0.3">
      <c r="A150" s="1">
        <v>46099</v>
      </c>
      <c r="B150" t="s">
        <v>97</v>
      </c>
      <c r="C150" t="s">
        <v>96</v>
      </c>
      <c r="D150">
        <v>8991</v>
      </c>
    </row>
    <row r="151" spans="1:4" x14ac:dyDescent="0.3">
      <c r="A151" s="1">
        <v>46076</v>
      </c>
      <c r="B151" t="s">
        <v>97</v>
      </c>
      <c r="C151" t="s">
        <v>99</v>
      </c>
      <c r="D151">
        <v>29153</v>
      </c>
    </row>
    <row r="152" spans="1:4" x14ac:dyDescent="0.3">
      <c r="A152" s="1">
        <v>46095</v>
      </c>
      <c r="B152" t="s">
        <v>94</v>
      </c>
      <c r="C152" t="s">
        <v>93</v>
      </c>
      <c r="D152">
        <v>10311</v>
      </c>
    </row>
    <row r="153" spans="1:4" x14ac:dyDescent="0.3">
      <c r="A153" s="1">
        <v>46118</v>
      </c>
      <c r="B153" t="s">
        <v>92</v>
      </c>
      <c r="C153" t="s">
        <v>96</v>
      </c>
      <c r="D153">
        <v>7044</v>
      </c>
    </row>
    <row r="154" spans="1:4" x14ac:dyDescent="0.3">
      <c r="A154" s="1">
        <v>46111</v>
      </c>
      <c r="B154" t="s">
        <v>94</v>
      </c>
      <c r="C154" t="s">
        <v>96</v>
      </c>
      <c r="D154">
        <v>22645</v>
      </c>
    </row>
    <row r="155" spans="1:4" x14ac:dyDescent="0.3">
      <c r="A155" s="1">
        <v>46134</v>
      </c>
      <c r="B155" t="s">
        <v>92</v>
      </c>
      <c r="C155" t="s">
        <v>95</v>
      </c>
      <c r="D155">
        <v>40376</v>
      </c>
    </row>
    <row r="156" spans="1:4" x14ac:dyDescent="0.3">
      <c r="A156" s="1">
        <v>46139</v>
      </c>
      <c r="B156" t="s">
        <v>94</v>
      </c>
      <c r="C156" t="s">
        <v>99</v>
      </c>
      <c r="D156">
        <v>34129</v>
      </c>
    </row>
    <row r="157" spans="1:4" x14ac:dyDescent="0.3">
      <c r="A157" s="1">
        <v>46048</v>
      </c>
      <c r="B157" t="s">
        <v>98</v>
      </c>
      <c r="C157" t="s">
        <v>99</v>
      </c>
      <c r="D157">
        <v>27943</v>
      </c>
    </row>
    <row r="158" spans="1:4" x14ac:dyDescent="0.3">
      <c r="A158" s="1">
        <v>46076</v>
      </c>
      <c r="B158" t="s">
        <v>92</v>
      </c>
      <c r="C158" t="s">
        <v>99</v>
      </c>
      <c r="D158">
        <v>41261</v>
      </c>
    </row>
    <row r="159" spans="1:4" x14ac:dyDescent="0.3">
      <c r="A159" s="1">
        <v>46109</v>
      </c>
      <c r="B159" t="s">
        <v>97</v>
      </c>
      <c r="C159" t="s">
        <v>96</v>
      </c>
      <c r="D159">
        <v>40661</v>
      </c>
    </row>
    <row r="160" spans="1:4" x14ac:dyDescent="0.3">
      <c r="A160" s="1">
        <v>46140</v>
      </c>
      <c r="B160" t="s">
        <v>98</v>
      </c>
      <c r="C160" t="s">
        <v>96</v>
      </c>
      <c r="D160">
        <v>48899</v>
      </c>
    </row>
    <row r="161" spans="1:4" x14ac:dyDescent="0.3">
      <c r="A161" s="1">
        <v>46032</v>
      </c>
      <c r="B161" t="s">
        <v>92</v>
      </c>
      <c r="C161" t="s">
        <v>95</v>
      </c>
      <c r="D161">
        <v>40834</v>
      </c>
    </row>
    <row r="162" spans="1:4" x14ac:dyDescent="0.3">
      <c r="A162" s="1">
        <v>46107</v>
      </c>
      <c r="B162" t="s">
        <v>94</v>
      </c>
      <c r="C162" t="s">
        <v>95</v>
      </c>
      <c r="D162">
        <v>44647</v>
      </c>
    </row>
    <row r="163" spans="1:4" x14ac:dyDescent="0.3">
      <c r="A163" s="1">
        <v>46048</v>
      </c>
      <c r="B163" t="s">
        <v>94</v>
      </c>
      <c r="C163" t="s">
        <v>99</v>
      </c>
      <c r="D163">
        <v>48003</v>
      </c>
    </row>
    <row r="164" spans="1:4" x14ac:dyDescent="0.3">
      <c r="A164" s="1">
        <v>46115</v>
      </c>
      <c r="B164" t="s">
        <v>92</v>
      </c>
      <c r="C164" t="s">
        <v>93</v>
      </c>
      <c r="D164">
        <v>18347</v>
      </c>
    </row>
    <row r="165" spans="1:4" x14ac:dyDescent="0.3">
      <c r="A165" s="1">
        <v>46030</v>
      </c>
      <c r="B165" t="s">
        <v>94</v>
      </c>
      <c r="C165" t="s">
        <v>99</v>
      </c>
      <c r="D165">
        <v>31524</v>
      </c>
    </row>
    <row r="166" spans="1:4" x14ac:dyDescent="0.3">
      <c r="A166" s="1">
        <v>46130</v>
      </c>
      <c r="B166" t="s">
        <v>97</v>
      </c>
      <c r="C166" t="s">
        <v>95</v>
      </c>
      <c r="D166">
        <v>15447</v>
      </c>
    </row>
    <row r="167" spans="1:4" x14ac:dyDescent="0.3">
      <c r="A167" s="1">
        <v>46137</v>
      </c>
      <c r="B167" t="s">
        <v>98</v>
      </c>
      <c r="C167" t="s">
        <v>99</v>
      </c>
      <c r="D167">
        <v>14481</v>
      </c>
    </row>
    <row r="168" spans="1:4" x14ac:dyDescent="0.3">
      <c r="A168" s="1">
        <v>46126</v>
      </c>
      <c r="B168" t="s">
        <v>92</v>
      </c>
      <c r="C168" t="s">
        <v>93</v>
      </c>
      <c r="D168">
        <v>31847</v>
      </c>
    </row>
    <row r="169" spans="1:4" x14ac:dyDescent="0.3">
      <c r="A169" s="1">
        <v>46072</v>
      </c>
      <c r="B169" t="s">
        <v>98</v>
      </c>
      <c r="C169" t="s">
        <v>99</v>
      </c>
      <c r="D169">
        <v>38440</v>
      </c>
    </row>
    <row r="170" spans="1:4" x14ac:dyDescent="0.3">
      <c r="A170" s="1">
        <v>46051</v>
      </c>
      <c r="B170" t="s">
        <v>92</v>
      </c>
      <c r="C170" t="s">
        <v>95</v>
      </c>
      <c r="D170">
        <v>43561</v>
      </c>
    </row>
    <row r="171" spans="1:4" x14ac:dyDescent="0.3">
      <c r="A171" s="1">
        <v>46100</v>
      </c>
      <c r="B171" t="s">
        <v>92</v>
      </c>
      <c r="C171" t="s">
        <v>95</v>
      </c>
      <c r="D171">
        <v>4444</v>
      </c>
    </row>
    <row r="172" spans="1:4" x14ac:dyDescent="0.3">
      <c r="A172" s="1">
        <v>46086</v>
      </c>
      <c r="B172" t="s">
        <v>94</v>
      </c>
      <c r="C172" t="s">
        <v>95</v>
      </c>
      <c r="D172">
        <v>57754</v>
      </c>
    </row>
    <row r="173" spans="1:4" x14ac:dyDescent="0.3">
      <c r="A173" s="1">
        <v>46028</v>
      </c>
      <c r="B173" t="s">
        <v>94</v>
      </c>
      <c r="C173" t="s">
        <v>93</v>
      </c>
      <c r="D173">
        <v>19361</v>
      </c>
    </row>
    <row r="174" spans="1:4" x14ac:dyDescent="0.3">
      <c r="A174" s="1">
        <v>46042</v>
      </c>
      <c r="B174" t="s">
        <v>94</v>
      </c>
      <c r="C174" t="s">
        <v>99</v>
      </c>
      <c r="D174">
        <v>16671</v>
      </c>
    </row>
    <row r="175" spans="1:4" x14ac:dyDescent="0.3">
      <c r="A175" s="1">
        <v>46074</v>
      </c>
      <c r="B175" t="s">
        <v>97</v>
      </c>
      <c r="C175" t="s">
        <v>96</v>
      </c>
      <c r="D175">
        <v>24675</v>
      </c>
    </row>
    <row r="176" spans="1:4" x14ac:dyDescent="0.3">
      <c r="A176" s="1">
        <v>46057</v>
      </c>
      <c r="B176" t="s">
        <v>92</v>
      </c>
      <c r="C176" t="s">
        <v>96</v>
      </c>
      <c r="D176">
        <v>2610</v>
      </c>
    </row>
    <row r="177" spans="1:4" x14ac:dyDescent="0.3">
      <c r="A177" s="1">
        <v>46125</v>
      </c>
      <c r="B177" t="s">
        <v>97</v>
      </c>
      <c r="C177" t="s">
        <v>95</v>
      </c>
      <c r="D177">
        <v>56318</v>
      </c>
    </row>
    <row r="178" spans="1:4" x14ac:dyDescent="0.3">
      <c r="A178" s="1">
        <v>46041</v>
      </c>
      <c r="B178" t="s">
        <v>98</v>
      </c>
      <c r="C178" t="s">
        <v>95</v>
      </c>
      <c r="D178">
        <v>41336</v>
      </c>
    </row>
    <row r="179" spans="1:4" x14ac:dyDescent="0.3">
      <c r="A179" s="1">
        <v>46037</v>
      </c>
      <c r="B179" t="s">
        <v>98</v>
      </c>
      <c r="C179" t="s">
        <v>93</v>
      </c>
      <c r="D179">
        <v>24565</v>
      </c>
    </row>
    <row r="180" spans="1:4" x14ac:dyDescent="0.3">
      <c r="A180" s="1">
        <v>46086</v>
      </c>
      <c r="B180" t="s">
        <v>94</v>
      </c>
      <c r="C180" t="s">
        <v>99</v>
      </c>
      <c r="D180">
        <v>24446</v>
      </c>
    </row>
    <row r="181" spans="1:4" x14ac:dyDescent="0.3">
      <c r="A181" s="1">
        <v>46060</v>
      </c>
      <c r="B181" t="s">
        <v>94</v>
      </c>
      <c r="C181" t="s">
        <v>99</v>
      </c>
      <c r="D181">
        <v>14911</v>
      </c>
    </row>
    <row r="182" spans="1:4" x14ac:dyDescent="0.3">
      <c r="A182" s="1">
        <v>46037</v>
      </c>
      <c r="B182" t="s">
        <v>97</v>
      </c>
      <c r="C182" t="s">
        <v>96</v>
      </c>
      <c r="D182">
        <v>10573</v>
      </c>
    </row>
    <row r="183" spans="1:4" x14ac:dyDescent="0.3">
      <c r="A183" s="1">
        <v>46028</v>
      </c>
      <c r="B183" t="s">
        <v>94</v>
      </c>
      <c r="C183" t="s">
        <v>99</v>
      </c>
      <c r="D183">
        <v>48837</v>
      </c>
    </row>
    <row r="184" spans="1:4" x14ac:dyDescent="0.3">
      <c r="A184" s="1">
        <v>46106</v>
      </c>
      <c r="B184" t="s">
        <v>94</v>
      </c>
      <c r="C184" t="s">
        <v>99</v>
      </c>
      <c r="D184">
        <v>27137</v>
      </c>
    </row>
    <row r="185" spans="1:4" x14ac:dyDescent="0.3">
      <c r="A185" s="1">
        <v>46109</v>
      </c>
      <c r="B185" t="s">
        <v>92</v>
      </c>
      <c r="C185" t="s">
        <v>96</v>
      </c>
      <c r="D185">
        <v>2311</v>
      </c>
    </row>
    <row r="186" spans="1:4" x14ac:dyDescent="0.3">
      <c r="A186" s="1">
        <v>46118</v>
      </c>
      <c r="B186" t="s">
        <v>94</v>
      </c>
      <c r="C186" t="s">
        <v>93</v>
      </c>
      <c r="D186">
        <v>56279</v>
      </c>
    </row>
    <row r="187" spans="1:4" x14ac:dyDescent="0.3">
      <c r="A187" s="1">
        <v>46096</v>
      </c>
      <c r="B187" t="s">
        <v>92</v>
      </c>
      <c r="C187" t="s">
        <v>95</v>
      </c>
      <c r="D187">
        <v>20837</v>
      </c>
    </row>
    <row r="188" spans="1:4" x14ac:dyDescent="0.3">
      <c r="A188" s="1">
        <v>46089</v>
      </c>
      <c r="B188" t="s">
        <v>98</v>
      </c>
      <c r="C188" t="s">
        <v>93</v>
      </c>
      <c r="D188">
        <v>28592</v>
      </c>
    </row>
    <row r="189" spans="1:4" x14ac:dyDescent="0.3">
      <c r="A189" s="1">
        <v>46037</v>
      </c>
      <c r="B189" t="s">
        <v>98</v>
      </c>
      <c r="C189" t="s">
        <v>96</v>
      </c>
      <c r="D189">
        <v>17333</v>
      </c>
    </row>
    <row r="190" spans="1:4" x14ac:dyDescent="0.3">
      <c r="A190" s="1">
        <v>46133</v>
      </c>
      <c r="B190" t="s">
        <v>94</v>
      </c>
      <c r="C190" t="s">
        <v>96</v>
      </c>
      <c r="D190">
        <v>6661</v>
      </c>
    </row>
    <row r="191" spans="1:4" x14ac:dyDescent="0.3">
      <c r="A191" s="1">
        <v>46125</v>
      </c>
      <c r="B191" t="s">
        <v>92</v>
      </c>
      <c r="C191" t="s">
        <v>93</v>
      </c>
      <c r="D191">
        <v>47375</v>
      </c>
    </row>
    <row r="192" spans="1:4" x14ac:dyDescent="0.3">
      <c r="A192" s="1">
        <v>46027</v>
      </c>
      <c r="B192" t="s">
        <v>98</v>
      </c>
      <c r="C192" t="s">
        <v>95</v>
      </c>
      <c r="D192">
        <v>8846</v>
      </c>
    </row>
    <row r="193" spans="1:4" x14ac:dyDescent="0.3">
      <c r="A193" s="1">
        <v>46066</v>
      </c>
      <c r="B193" t="s">
        <v>94</v>
      </c>
      <c r="C193" t="s">
        <v>99</v>
      </c>
      <c r="D193">
        <v>28538</v>
      </c>
    </row>
    <row r="194" spans="1:4" x14ac:dyDescent="0.3">
      <c r="A194" s="1">
        <v>46071</v>
      </c>
      <c r="B194" t="s">
        <v>94</v>
      </c>
      <c r="C194" t="s">
        <v>96</v>
      </c>
      <c r="D194">
        <v>47651</v>
      </c>
    </row>
    <row r="195" spans="1:4" x14ac:dyDescent="0.3">
      <c r="A195" s="1">
        <v>46080</v>
      </c>
      <c r="B195" t="s">
        <v>92</v>
      </c>
      <c r="C195" t="s">
        <v>93</v>
      </c>
      <c r="D195">
        <v>55770</v>
      </c>
    </row>
    <row r="196" spans="1:4" x14ac:dyDescent="0.3">
      <c r="A196" s="1">
        <v>46104</v>
      </c>
      <c r="B196" t="s">
        <v>92</v>
      </c>
      <c r="C196" t="s">
        <v>95</v>
      </c>
      <c r="D196">
        <v>38926</v>
      </c>
    </row>
    <row r="197" spans="1:4" x14ac:dyDescent="0.3">
      <c r="A197" s="1">
        <v>46027</v>
      </c>
      <c r="B197" t="s">
        <v>97</v>
      </c>
      <c r="C197" t="s">
        <v>95</v>
      </c>
      <c r="D197">
        <v>46107</v>
      </c>
    </row>
    <row r="198" spans="1:4" x14ac:dyDescent="0.3">
      <c r="A198" s="1">
        <v>46056</v>
      </c>
      <c r="B198" t="s">
        <v>92</v>
      </c>
      <c r="C198" t="s">
        <v>93</v>
      </c>
      <c r="D198">
        <v>27015</v>
      </c>
    </row>
    <row r="199" spans="1:4" x14ac:dyDescent="0.3">
      <c r="A199" s="1">
        <v>46122</v>
      </c>
      <c r="B199" t="s">
        <v>92</v>
      </c>
      <c r="C199" t="s">
        <v>96</v>
      </c>
      <c r="D199">
        <v>9099</v>
      </c>
    </row>
    <row r="200" spans="1:4" x14ac:dyDescent="0.3">
      <c r="A200" s="1">
        <v>46064</v>
      </c>
      <c r="B200" t="s">
        <v>92</v>
      </c>
      <c r="C200" t="s">
        <v>95</v>
      </c>
      <c r="D200">
        <v>38556</v>
      </c>
    </row>
    <row r="201" spans="1:4" x14ac:dyDescent="0.3">
      <c r="A201" s="1">
        <v>46131</v>
      </c>
      <c r="B201" t="s">
        <v>98</v>
      </c>
      <c r="C201" t="s">
        <v>96</v>
      </c>
      <c r="D201">
        <v>19224</v>
      </c>
    </row>
    <row r="202" spans="1:4" x14ac:dyDescent="0.3">
      <c r="A202" s="1">
        <v>46103</v>
      </c>
      <c r="B202" t="s">
        <v>98</v>
      </c>
      <c r="C202" t="s">
        <v>96</v>
      </c>
      <c r="D202">
        <v>10090</v>
      </c>
    </row>
    <row r="203" spans="1:4" x14ac:dyDescent="0.3">
      <c r="A203" s="1">
        <v>46053</v>
      </c>
      <c r="B203" t="s">
        <v>97</v>
      </c>
      <c r="C203" t="s">
        <v>96</v>
      </c>
      <c r="D203">
        <v>33857</v>
      </c>
    </row>
    <row r="204" spans="1:4" x14ac:dyDescent="0.3">
      <c r="A204" s="1">
        <v>46136</v>
      </c>
      <c r="B204" t="s">
        <v>98</v>
      </c>
      <c r="C204" t="s">
        <v>95</v>
      </c>
      <c r="D204">
        <v>3759</v>
      </c>
    </row>
    <row r="205" spans="1:4" x14ac:dyDescent="0.3">
      <c r="A205" s="1">
        <v>46115</v>
      </c>
      <c r="B205" t="s">
        <v>94</v>
      </c>
      <c r="C205" t="s">
        <v>96</v>
      </c>
      <c r="D205">
        <v>46105</v>
      </c>
    </row>
    <row r="206" spans="1:4" x14ac:dyDescent="0.3">
      <c r="A206" s="1">
        <v>46067</v>
      </c>
      <c r="B206" t="s">
        <v>97</v>
      </c>
      <c r="C206" t="s">
        <v>96</v>
      </c>
      <c r="D206">
        <v>14302</v>
      </c>
    </row>
    <row r="207" spans="1:4" x14ac:dyDescent="0.3">
      <c r="A207" s="1">
        <v>46134</v>
      </c>
      <c r="B207" t="s">
        <v>92</v>
      </c>
      <c r="C207" t="s">
        <v>93</v>
      </c>
      <c r="D207">
        <v>26615</v>
      </c>
    </row>
    <row r="208" spans="1:4" x14ac:dyDescent="0.3">
      <c r="A208" s="1">
        <v>46094</v>
      </c>
      <c r="B208" t="s">
        <v>98</v>
      </c>
      <c r="C208" t="s">
        <v>99</v>
      </c>
      <c r="D208">
        <v>55530</v>
      </c>
    </row>
    <row r="209" spans="1:4" x14ac:dyDescent="0.3">
      <c r="A209" s="1">
        <v>46106</v>
      </c>
      <c r="B209" t="s">
        <v>98</v>
      </c>
      <c r="C209" t="s">
        <v>96</v>
      </c>
      <c r="D209">
        <v>2552</v>
      </c>
    </row>
    <row r="210" spans="1:4" x14ac:dyDescent="0.3">
      <c r="A210" s="1">
        <v>46060</v>
      </c>
      <c r="B210" t="s">
        <v>97</v>
      </c>
      <c r="C210" t="s">
        <v>99</v>
      </c>
      <c r="D210">
        <v>15917</v>
      </c>
    </row>
    <row r="211" spans="1:4" x14ac:dyDescent="0.3">
      <c r="A211" s="1">
        <v>46133</v>
      </c>
      <c r="B211" t="s">
        <v>97</v>
      </c>
      <c r="C211" t="s">
        <v>95</v>
      </c>
      <c r="D211">
        <v>19453</v>
      </c>
    </row>
    <row r="212" spans="1:4" x14ac:dyDescent="0.3">
      <c r="A212" s="1">
        <v>46065</v>
      </c>
      <c r="B212" t="s">
        <v>94</v>
      </c>
      <c r="C212" t="s">
        <v>99</v>
      </c>
      <c r="D212">
        <v>38765</v>
      </c>
    </row>
    <row r="213" spans="1:4" x14ac:dyDescent="0.3">
      <c r="A213" s="1">
        <v>46023</v>
      </c>
      <c r="B213" t="s">
        <v>97</v>
      </c>
      <c r="C213" t="s">
        <v>96</v>
      </c>
      <c r="D213">
        <v>2465</v>
      </c>
    </row>
    <row r="214" spans="1:4" x14ac:dyDescent="0.3">
      <c r="A214" s="1">
        <v>46133</v>
      </c>
      <c r="B214" t="s">
        <v>92</v>
      </c>
      <c r="C214" t="s">
        <v>93</v>
      </c>
      <c r="D214">
        <v>20478</v>
      </c>
    </row>
    <row r="215" spans="1:4" x14ac:dyDescent="0.3">
      <c r="A215" s="1">
        <v>46142</v>
      </c>
      <c r="B215" t="s">
        <v>97</v>
      </c>
      <c r="C215" t="s">
        <v>96</v>
      </c>
      <c r="D215">
        <v>51273</v>
      </c>
    </row>
    <row r="216" spans="1:4" x14ac:dyDescent="0.3">
      <c r="A216" s="1">
        <v>46133</v>
      </c>
      <c r="B216" t="s">
        <v>92</v>
      </c>
      <c r="C216" t="s">
        <v>99</v>
      </c>
      <c r="D216">
        <v>37603</v>
      </c>
    </row>
    <row r="217" spans="1:4" x14ac:dyDescent="0.3">
      <c r="A217" s="1">
        <v>46121</v>
      </c>
      <c r="B217" t="s">
        <v>94</v>
      </c>
      <c r="C217" t="s">
        <v>96</v>
      </c>
      <c r="D217">
        <v>24165</v>
      </c>
    </row>
    <row r="218" spans="1:4" x14ac:dyDescent="0.3">
      <c r="A218" s="1">
        <v>46090</v>
      </c>
      <c r="B218" t="s">
        <v>94</v>
      </c>
      <c r="C218" t="s">
        <v>96</v>
      </c>
      <c r="D218">
        <v>15237</v>
      </c>
    </row>
    <row r="219" spans="1:4" x14ac:dyDescent="0.3">
      <c r="A219" s="1">
        <v>46049</v>
      </c>
      <c r="B219" t="s">
        <v>97</v>
      </c>
      <c r="C219" t="s">
        <v>96</v>
      </c>
      <c r="D219">
        <v>13228</v>
      </c>
    </row>
    <row r="220" spans="1:4" x14ac:dyDescent="0.3">
      <c r="A220" s="1">
        <v>46070</v>
      </c>
      <c r="B220" t="s">
        <v>98</v>
      </c>
      <c r="C220" t="s">
        <v>95</v>
      </c>
      <c r="D220">
        <v>42147</v>
      </c>
    </row>
    <row r="221" spans="1:4" x14ac:dyDescent="0.3">
      <c r="A221" s="1">
        <v>46052</v>
      </c>
      <c r="B221" t="s">
        <v>94</v>
      </c>
      <c r="C221" t="s">
        <v>96</v>
      </c>
      <c r="D221">
        <v>24466</v>
      </c>
    </row>
    <row r="222" spans="1:4" x14ac:dyDescent="0.3">
      <c r="A222" s="1">
        <v>46049</v>
      </c>
      <c r="B222" t="s">
        <v>97</v>
      </c>
      <c r="C222" t="s">
        <v>96</v>
      </c>
      <c r="D222">
        <v>20471</v>
      </c>
    </row>
    <row r="223" spans="1:4" x14ac:dyDescent="0.3">
      <c r="A223" s="1">
        <v>46109</v>
      </c>
      <c r="B223" t="s">
        <v>94</v>
      </c>
      <c r="C223" t="s">
        <v>95</v>
      </c>
      <c r="D223">
        <v>18870</v>
      </c>
    </row>
    <row r="224" spans="1:4" x14ac:dyDescent="0.3">
      <c r="A224" s="1">
        <v>46092</v>
      </c>
      <c r="B224" t="s">
        <v>92</v>
      </c>
      <c r="C224" t="s">
        <v>96</v>
      </c>
      <c r="D224">
        <v>53950</v>
      </c>
    </row>
    <row r="225" spans="1:4" x14ac:dyDescent="0.3">
      <c r="A225" s="1">
        <v>46121</v>
      </c>
      <c r="B225" t="s">
        <v>97</v>
      </c>
      <c r="C225" t="s">
        <v>93</v>
      </c>
      <c r="D225">
        <v>50983</v>
      </c>
    </row>
    <row r="226" spans="1:4" x14ac:dyDescent="0.3">
      <c r="A226" s="1">
        <v>46043</v>
      </c>
      <c r="B226" t="s">
        <v>94</v>
      </c>
      <c r="C226" t="s">
        <v>96</v>
      </c>
      <c r="D226">
        <v>3162</v>
      </c>
    </row>
    <row r="227" spans="1:4" x14ac:dyDescent="0.3">
      <c r="A227" s="1">
        <v>46075</v>
      </c>
      <c r="B227" t="s">
        <v>92</v>
      </c>
      <c r="C227" t="s">
        <v>96</v>
      </c>
      <c r="D227">
        <v>57541</v>
      </c>
    </row>
    <row r="228" spans="1:4" x14ac:dyDescent="0.3">
      <c r="A228" s="1">
        <v>46069</v>
      </c>
      <c r="B228" t="s">
        <v>97</v>
      </c>
      <c r="C228" t="s">
        <v>93</v>
      </c>
      <c r="D228">
        <v>37560</v>
      </c>
    </row>
    <row r="229" spans="1:4" x14ac:dyDescent="0.3">
      <c r="A229" s="1">
        <v>46076</v>
      </c>
      <c r="B229" t="s">
        <v>97</v>
      </c>
      <c r="C229" t="s">
        <v>95</v>
      </c>
      <c r="D229">
        <v>22724</v>
      </c>
    </row>
    <row r="230" spans="1:4" x14ac:dyDescent="0.3">
      <c r="A230" s="1">
        <v>46066</v>
      </c>
      <c r="B230" t="s">
        <v>98</v>
      </c>
      <c r="C230" t="s">
        <v>95</v>
      </c>
      <c r="D230">
        <v>17906</v>
      </c>
    </row>
    <row r="231" spans="1:4" x14ac:dyDescent="0.3">
      <c r="A231" s="1">
        <v>46087</v>
      </c>
      <c r="B231" t="s">
        <v>92</v>
      </c>
      <c r="C231" t="s">
        <v>95</v>
      </c>
      <c r="D231">
        <v>3952</v>
      </c>
    </row>
    <row r="232" spans="1:4" x14ac:dyDescent="0.3">
      <c r="A232" s="1">
        <v>46127</v>
      </c>
      <c r="B232" t="s">
        <v>92</v>
      </c>
      <c r="C232" t="s">
        <v>95</v>
      </c>
      <c r="D232">
        <v>58359</v>
      </c>
    </row>
    <row r="233" spans="1:4" x14ac:dyDescent="0.3">
      <c r="A233" s="1">
        <v>46109</v>
      </c>
      <c r="B233" t="s">
        <v>97</v>
      </c>
      <c r="C233" t="s">
        <v>95</v>
      </c>
      <c r="D233">
        <v>56152</v>
      </c>
    </row>
    <row r="234" spans="1:4" x14ac:dyDescent="0.3">
      <c r="A234" s="1">
        <v>46075</v>
      </c>
      <c r="B234" t="s">
        <v>94</v>
      </c>
      <c r="C234" t="s">
        <v>99</v>
      </c>
      <c r="D234">
        <v>37478</v>
      </c>
    </row>
    <row r="235" spans="1:4" x14ac:dyDescent="0.3">
      <c r="A235" s="1">
        <v>46105</v>
      </c>
      <c r="B235" t="s">
        <v>98</v>
      </c>
      <c r="C235" t="s">
        <v>93</v>
      </c>
      <c r="D235">
        <v>54262</v>
      </c>
    </row>
    <row r="236" spans="1:4" x14ac:dyDescent="0.3">
      <c r="A236" s="1">
        <v>46096</v>
      </c>
      <c r="B236" t="s">
        <v>97</v>
      </c>
      <c r="C236" t="s">
        <v>96</v>
      </c>
      <c r="D236">
        <v>16577</v>
      </c>
    </row>
    <row r="237" spans="1:4" x14ac:dyDescent="0.3">
      <c r="A237" s="1">
        <v>46134</v>
      </c>
      <c r="B237" t="s">
        <v>94</v>
      </c>
      <c r="C237" t="s">
        <v>96</v>
      </c>
      <c r="D237">
        <v>10356</v>
      </c>
    </row>
    <row r="238" spans="1:4" x14ac:dyDescent="0.3">
      <c r="A238" s="1">
        <v>46106</v>
      </c>
      <c r="B238" t="s">
        <v>97</v>
      </c>
      <c r="C238" t="s">
        <v>93</v>
      </c>
      <c r="D238">
        <v>7258</v>
      </c>
    </row>
    <row r="239" spans="1:4" x14ac:dyDescent="0.3">
      <c r="A239" s="1">
        <v>46133</v>
      </c>
      <c r="B239" t="s">
        <v>94</v>
      </c>
      <c r="C239" t="s">
        <v>96</v>
      </c>
      <c r="D239">
        <v>45462</v>
      </c>
    </row>
    <row r="240" spans="1:4" x14ac:dyDescent="0.3">
      <c r="A240" s="1">
        <v>46098</v>
      </c>
      <c r="B240" t="s">
        <v>98</v>
      </c>
      <c r="C240" t="s">
        <v>99</v>
      </c>
      <c r="D240">
        <v>25438</v>
      </c>
    </row>
    <row r="241" spans="1:4" x14ac:dyDescent="0.3">
      <c r="A241" s="1">
        <v>46048</v>
      </c>
      <c r="B241" t="s">
        <v>97</v>
      </c>
      <c r="C241" t="s">
        <v>95</v>
      </c>
      <c r="D241">
        <v>19861</v>
      </c>
    </row>
    <row r="242" spans="1:4" x14ac:dyDescent="0.3">
      <c r="A242" s="1">
        <v>46039</v>
      </c>
      <c r="B242" t="s">
        <v>94</v>
      </c>
      <c r="C242" t="s">
        <v>96</v>
      </c>
      <c r="D242">
        <v>48902</v>
      </c>
    </row>
    <row r="243" spans="1:4" x14ac:dyDescent="0.3">
      <c r="A243" s="1">
        <v>46088</v>
      </c>
      <c r="B243" t="s">
        <v>97</v>
      </c>
      <c r="C243" t="s">
        <v>93</v>
      </c>
      <c r="D243">
        <v>48964</v>
      </c>
    </row>
    <row r="244" spans="1:4" x14ac:dyDescent="0.3">
      <c r="A244" s="1">
        <v>46075</v>
      </c>
      <c r="B244" t="s">
        <v>98</v>
      </c>
      <c r="C244" t="s">
        <v>99</v>
      </c>
      <c r="D244">
        <v>8757</v>
      </c>
    </row>
    <row r="245" spans="1:4" x14ac:dyDescent="0.3">
      <c r="A245" s="1">
        <v>46086</v>
      </c>
      <c r="B245" t="s">
        <v>97</v>
      </c>
      <c r="C245" t="s">
        <v>96</v>
      </c>
      <c r="D245">
        <v>48724</v>
      </c>
    </row>
    <row r="246" spans="1:4" x14ac:dyDescent="0.3">
      <c r="A246" s="1">
        <v>46121</v>
      </c>
      <c r="B246" t="s">
        <v>92</v>
      </c>
      <c r="C246" t="s">
        <v>99</v>
      </c>
      <c r="D246">
        <v>52897</v>
      </c>
    </row>
    <row r="247" spans="1:4" x14ac:dyDescent="0.3">
      <c r="A247" s="1">
        <v>46121</v>
      </c>
      <c r="B247" t="s">
        <v>97</v>
      </c>
      <c r="C247" t="s">
        <v>93</v>
      </c>
      <c r="D247">
        <v>17153</v>
      </c>
    </row>
    <row r="248" spans="1:4" x14ac:dyDescent="0.3">
      <c r="A248" s="1">
        <v>46067</v>
      </c>
      <c r="B248" t="s">
        <v>94</v>
      </c>
      <c r="C248" t="s">
        <v>99</v>
      </c>
      <c r="D248">
        <v>13447</v>
      </c>
    </row>
    <row r="249" spans="1:4" x14ac:dyDescent="0.3">
      <c r="A249" s="1">
        <v>46104</v>
      </c>
      <c r="B249" t="s">
        <v>94</v>
      </c>
      <c r="C249" t="s">
        <v>99</v>
      </c>
      <c r="D249">
        <v>19838</v>
      </c>
    </row>
    <row r="250" spans="1:4" x14ac:dyDescent="0.3">
      <c r="A250" s="1">
        <v>46132</v>
      </c>
      <c r="B250" t="s">
        <v>92</v>
      </c>
      <c r="C250" t="s">
        <v>99</v>
      </c>
      <c r="D250">
        <v>35752</v>
      </c>
    </row>
    <row r="251" spans="1:4" x14ac:dyDescent="0.3">
      <c r="A251" s="1">
        <v>46077</v>
      </c>
      <c r="B251" t="s">
        <v>97</v>
      </c>
      <c r="C251" t="s">
        <v>96</v>
      </c>
      <c r="D251">
        <v>40577</v>
      </c>
    </row>
    <row r="252" spans="1:4" x14ac:dyDescent="0.3">
      <c r="A252" s="1">
        <v>46118</v>
      </c>
      <c r="B252" t="s">
        <v>94</v>
      </c>
      <c r="C252" t="s">
        <v>93</v>
      </c>
      <c r="D252">
        <v>45440</v>
      </c>
    </row>
    <row r="253" spans="1:4" x14ac:dyDescent="0.3">
      <c r="A253" s="1">
        <v>46042</v>
      </c>
      <c r="B253" t="s">
        <v>92</v>
      </c>
      <c r="C253" t="s">
        <v>93</v>
      </c>
      <c r="D253">
        <v>6630</v>
      </c>
    </row>
    <row r="254" spans="1:4" x14ac:dyDescent="0.3">
      <c r="A254" s="1">
        <v>46094</v>
      </c>
      <c r="B254" t="s">
        <v>92</v>
      </c>
      <c r="C254" t="s">
        <v>99</v>
      </c>
      <c r="D254">
        <v>24763</v>
      </c>
    </row>
    <row r="255" spans="1:4" x14ac:dyDescent="0.3">
      <c r="A255" s="1">
        <v>46082</v>
      </c>
      <c r="B255" t="s">
        <v>92</v>
      </c>
      <c r="C255" t="s">
        <v>95</v>
      </c>
      <c r="D255">
        <v>28706</v>
      </c>
    </row>
    <row r="256" spans="1:4" x14ac:dyDescent="0.3">
      <c r="A256" s="1">
        <v>46131</v>
      </c>
      <c r="B256" t="s">
        <v>97</v>
      </c>
      <c r="C256" t="s">
        <v>96</v>
      </c>
      <c r="D256">
        <v>40497</v>
      </c>
    </row>
    <row r="257" spans="1:4" x14ac:dyDescent="0.3">
      <c r="A257" s="1">
        <v>46068</v>
      </c>
      <c r="B257" t="s">
        <v>92</v>
      </c>
      <c r="C257" t="s">
        <v>93</v>
      </c>
      <c r="D257">
        <v>7052</v>
      </c>
    </row>
    <row r="258" spans="1:4" x14ac:dyDescent="0.3">
      <c r="A258" s="1">
        <v>46094</v>
      </c>
      <c r="B258" t="s">
        <v>92</v>
      </c>
      <c r="C258" t="s">
        <v>96</v>
      </c>
      <c r="D258">
        <v>4412</v>
      </c>
    </row>
    <row r="259" spans="1:4" x14ac:dyDescent="0.3">
      <c r="A259" s="1">
        <v>46117</v>
      </c>
      <c r="B259" t="s">
        <v>98</v>
      </c>
      <c r="C259" t="s">
        <v>96</v>
      </c>
      <c r="D259">
        <v>50277</v>
      </c>
    </row>
    <row r="260" spans="1:4" x14ac:dyDescent="0.3">
      <c r="A260" s="1">
        <v>46057</v>
      </c>
      <c r="B260" t="s">
        <v>92</v>
      </c>
      <c r="C260" t="s">
        <v>93</v>
      </c>
      <c r="D260">
        <v>33213</v>
      </c>
    </row>
    <row r="261" spans="1:4" x14ac:dyDescent="0.3">
      <c r="A261" s="1">
        <v>46097</v>
      </c>
      <c r="B261" t="s">
        <v>98</v>
      </c>
      <c r="C261" t="s">
        <v>95</v>
      </c>
      <c r="D261">
        <v>37927</v>
      </c>
    </row>
    <row r="262" spans="1:4" x14ac:dyDescent="0.3">
      <c r="A262" s="1">
        <v>46141</v>
      </c>
      <c r="B262" t="s">
        <v>94</v>
      </c>
      <c r="C262" t="s">
        <v>96</v>
      </c>
      <c r="D262">
        <v>23983</v>
      </c>
    </row>
    <row r="263" spans="1:4" x14ac:dyDescent="0.3">
      <c r="A263" s="1">
        <v>46101</v>
      </c>
      <c r="B263" t="s">
        <v>97</v>
      </c>
      <c r="C263" t="s">
        <v>99</v>
      </c>
      <c r="D263">
        <v>40981</v>
      </c>
    </row>
    <row r="264" spans="1:4" x14ac:dyDescent="0.3">
      <c r="A264" s="1">
        <v>46118</v>
      </c>
      <c r="B264" t="s">
        <v>92</v>
      </c>
      <c r="C264" t="s">
        <v>93</v>
      </c>
      <c r="D264">
        <v>8556</v>
      </c>
    </row>
    <row r="265" spans="1:4" x14ac:dyDescent="0.3">
      <c r="A265" s="1">
        <v>46074</v>
      </c>
      <c r="B265" t="s">
        <v>97</v>
      </c>
      <c r="C265" t="s">
        <v>96</v>
      </c>
      <c r="D265">
        <v>9239</v>
      </c>
    </row>
    <row r="266" spans="1:4" x14ac:dyDescent="0.3">
      <c r="A266" s="1">
        <v>46025</v>
      </c>
      <c r="B266" t="s">
        <v>92</v>
      </c>
      <c r="C266" t="s">
        <v>99</v>
      </c>
      <c r="D266">
        <v>16390</v>
      </c>
    </row>
    <row r="267" spans="1:4" x14ac:dyDescent="0.3">
      <c r="A267" s="1">
        <v>46073</v>
      </c>
      <c r="B267" t="s">
        <v>97</v>
      </c>
      <c r="C267" t="s">
        <v>93</v>
      </c>
      <c r="D267">
        <v>27427</v>
      </c>
    </row>
    <row r="268" spans="1:4" x14ac:dyDescent="0.3">
      <c r="A268" s="1">
        <v>46102</v>
      </c>
      <c r="B268" t="s">
        <v>98</v>
      </c>
      <c r="C268" t="s">
        <v>95</v>
      </c>
      <c r="D268">
        <v>43045</v>
      </c>
    </row>
    <row r="269" spans="1:4" x14ac:dyDescent="0.3">
      <c r="A269" s="1">
        <v>46096</v>
      </c>
      <c r="B269" t="s">
        <v>94</v>
      </c>
      <c r="C269" t="s">
        <v>93</v>
      </c>
      <c r="D269">
        <v>13155</v>
      </c>
    </row>
    <row r="270" spans="1:4" x14ac:dyDescent="0.3">
      <c r="A270" s="1">
        <v>46038</v>
      </c>
      <c r="B270" t="s">
        <v>98</v>
      </c>
      <c r="C270" t="s">
        <v>95</v>
      </c>
      <c r="D270">
        <v>32118</v>
      </c>
    </row>
    <row r="271" spans="1:4" x14ac:dyDescent="0.3">
      <c r="A271" s="1">
        <v>46084</v>
      </c>
      <c r="B271" t="s">
        <v>92</v>
      </c>
      <c r="C271" t="s">
        <v>93</v>
      </c>
      <c r="D271">
        <v>8696</v>
      </c>
    </row>
    <row r="272" spans="1:4" x14ac:dyDescent="0.3">
      <c r="A272" s="1">
        <v>46115</v>
      </c>
      <c r="B272" t="s">
        <v>97</v>
      </c>
      <c r="C272" t="s">
        <v>93</v>
      </c>
      <c r="D272">
        <v>36132</v>
      </c>
    </row>
    <row r="273" spans="1:4" x14ac:dyDescent="0.3">
      <c r="A273" s="1">
        <v>46050</v>
      </c>
      <c r="B273" t="s">
        <v>97</v>
      </c>
      <c r="C273" t="s">
        <v>95</v>
      </c>
      <c r="D273">
        <v>54991</v>
      </c>
    </row>
    <row r="274" spans="1:4" x14ac:dyDescent="0.3">
      <c r="A274" s="1">
        <v>46106</v>
      </c>
      <c r="B274" t="s">
        <v>97</v>
      </c>
      <c r="C274" t="s">
        <v>96</v>
      </c>
      <c r="D274">
        <v>53591</v>
      </c>
    </row>
    <row r="275" spans="1:4" x14ac:dyDescent="0.3">
      <c r="A275" s="1">
        <v>46062</v>
      </c>
      <c r="B275" t="s">
        <v>97</v>
      </c>
      <c r="C275" t="s">
        <v>95</v>
      </c>
      <c r="D275">
        <v>46657</v>
      </c>
    </row>
    <row r="276" spans="1:4" x14ac:dyDescent="0.3">
      <c r="A276" s="1">
        <v>46051</v>
      </c>
      <c r="B276" t="s">
        <v>97</v>
      </c>
      <c r="C276" t="s">
        <v>96</v>
      </c>
      <c r="D276">
        <v>50003</v>
      </c>
    </row>
    <row r="277" spans="1:4" x14ac:dyDescent="0.3">
      <c r="A277" s="1">
        <v>46027</v>
      </c>
      <c r="B277" t="s">
        <v>94</v>
      </c>
      <c r="C277" t="s">
        <v>96</v>
      </c>
      <c r="D277">
        <v>41754</v>
      </c>
    </row>
    <row r="278" spans="1:4" x14ac:dyDescent="0.3">
      <c r="A278" s="1">
        <v>46141</v>
      </c>
      <c r="B278" t="s">
        <v>94</v>
      </c>
      <c r="C278" t="s">
        <v>95</v>
      </c>
      <c r="D278">
        <v>16256</v>
      </c>
    </row>
    <row r="279" spans="1:4" x14ac:dyDescent="0.3">
      <c r="A279" s="1">
        <v>46089</v>
      </c>
      <c r="B279" t="s">
        <v>94</v>
      </c>
      <c r="C279" t="s">
        <v>93</v>
      </c>
      <c r="D279">
        <v>17284</v>
      </c>
    </row>
    <row r="280" spans="1:4" x14ac:dyDescent="0.3">
      <c r="A280" s="1">
        <v>46045</v>
      </c>
      <c r="B280" t="s">
        <v>94</v>
      </c>
      <c r="C280" t="s">
        <v>95</v>
      </c>
      <c r="D280">
        <v>7461</v>
      </c>
    </row>
    <row r="281" spans="1:4" x14ac:dyDescent="0.3">
      <c r="A281" s="1">
        <v>46120</v>
      </c>
      <c r="B281" t="s">
        <v>94</v>
      </c>
      <c r="C281" t="s">
        <v>93</v>
      </c>
      <c r="D281">
        <v>43581</v>
      </c>
    </row>
    <row r="282" spans="1:4" x14ac:dyDescent="0.3">
      <c r="A282" s="1">
        <v>46079</v>
      </c>
      <c r="B282" t="s">
        <v>92</v>
      </c>
      <c r="C282" t="s">
        <v>96</v>
      </c>
      <c r="D282">
        <v>26285</v>
      </c>
    </row>
    <row r="283" spans="1:4" x14ac:dyDescent="0.3">
      <c r="A283" s="1">
        <v>46130</v>
      </c>
      <c r="B283" t="s">
        <v>94</v>
      </c>
      <c r="C283" t="s">
        <v>95</v>
      </c>
      <c r="D283">
        <v>47497</v>
      </c>
    </row>
    <row r="284" spans="1:4" x14ac:dyDescent="0.3">
      <c r="A284" s="1">
        <v>46057</v>
      </c>
      <c r="B284" t="s">
        <v>98</v>
      </c>
      <c r="C284" t="s">
        <v>93</v>
      </c>
      <c r="D284">
        <v>13527</v>
      </c>
    </row>
    <row r="285" spans="1:4" x14ac:dyDescent="0.3">
      <c r="A285" s="1">
        <v>46127</v>
      </c>
      <c r="B285" t="s">
        <v>97</v>
      </c>
      <c r="C285" t="s">
        <v>96</v>
      </c>
      <c r="D285">
        <v>52031</v>
      </c>
    </row>
    <row r="286" spans="1:4" x14ac:dyDescent="0.3">
      <c r="A286" s="1">
        <v>46096</v>
      </c>
      <c r="B286" t="s">
        <v>98</v>
      </c>
      <c r="C286" t="s">
        <v>99</v>
      </c>
      <c r="D286">
        <v>53675</v>
      </c>
    </row>
    <row r="287" spans="1:4" x14ac:dyDescent="0.3">
      <c r="A287" s="1">
        <v>46129</v>
      </c>
      <c r="B287" t="s">
        <v>94</v>
      </c>
      <c r="C287" t="s">
        <v>99</v>
      </c>
      <c r="D287">
        <v>7776</v>
      </c>
    </row>
    <row r="288" spans="1:4" x14ac:dyDescent="0.3">
      <c r="A288" s="1">
        <v>46134</v>
      </c>
      <c r="B288" t="s">
        <v>98</v>
      </c>
      <c r="C288" t="s">
        <v>99</v>
      </c>
      <c r="D288">
        <v>47863</v>
      </c>
    </row>
    <row r="289" spans="1:4" x14ac:dyDescent="0.3">
      <c r="A289" s="1">
        <v>46023</v>
      </c>
      <c r="B289" t="s">
        <v>92</v>
      </c>
      <c r="C289" t="s">
        <v>95</v>
      </c>
      <c r="D289">
        <v>32718</v>
      </c>
    </row>
    <row r="290" spans="1:4" x14ac:dyDescent="0.3">
      <c r="A290" s="1">
        <v>46037</v>
      </c>
      <c r="B290" t="s">
        <v>94</v>
      </c>
      <c r="C290" t="s">
        <v>99</v>
      </c>
      <c r="D290">
        <v>22124</v>
      </c>
    </row>
    <row r="291" spans="1:4" x14ac:dyDescent="0.3">
      <c r="A291" s="1">
        <v>46131</v>
      </c>
      <c r="B291" t="s">
        <v>98</v>
      </c>
      <c r="C291" t="s">
        <v>96</v>
      </c>
      <c r="D291">
        <v>28006</v>
      </c>
    </row>
    <row r="292" spans="1:4" x14ac:dyDescent="0.3">
      <c r="A292" s="1">
        <v>46026</v>
      </c>
      <c r="B292" t="s">
        <v>98</v>
      </c>
      <c r="C292" t="s">
        <v>95</v>
      </c>
      <c r="D292">
        <v>32669</v>
      </c>
    </row>
    <row r="293" spans="1:4" x14ac:dyDescent="0.3">
      <c r="A293" s="1">
        <v>46049</v>
      </c>
      <c r="B293" t="s">
        <v>98</v>
      </c>
      <c r="C293" t="s">
        <v>95</v>
      </c>
      <c r="D293">
        <v>11709</v>
      </c>
    </row>
    <row r="294" spans="1:4" x14ac:dyDescent="0.3">
      <c r="A294" s="1">
        <v>46049</v>
      </c>
      <c r="B294" t="s">
        <v>92</v>
      </c>
      <c r="C294" t="s">
        <v>93</v>
      </c>
      <c r="D294">
        <v>27426</v>
      </c>
    </row>
    <row r="295" spans="1:4" x14ac:dyDescent="0.3">
      <c r="A295" s="1">
        <v>46120</v>
      </c>
      <c r="B295" t="s">
        <v>97</v>
      </c>
      <c r="C295" t="s">
        <v>99</v>
      </c>
      <c r="D295">
        <v>42339</v>
      </c>
    </row>
    <row r="296" spans="1:4" x14ac:dyDescent="0.3">
      <c r="A296" s="1">
        <v>46139</v>
      </c>
      <c r="B296" t="s">
        <v>92</v>
      </c>
      <c r="C296" t="s">
        <v>96</v>
      </c>
      <c r="D296">
        <v>7743</v>
      </c>
    </row>
    <row r="297" spans="1:4" x14ac:dyDescent="0.3">
      <c r="A297" s="1">
        <v>46109</v>
      </c>
      <c r="B297" t="s">
        <v>92</v>
      </c>
      <c r="C297" t="s">
        <v>95</v>
      </c>
      <c r="D297">
        <v>13786</v>
      </c>
    </row>
    <row r="298" spans="1:4" x14ac:dyDescent="0.3">
      <c r="A298" s="1">
        <v>46042</v>
      </c>
      <c r="B298" t="s">
        <v>97</v>
      </c>
      <c r="C298" t="s">
        <v>96</v>
      </c>
      <c r="D298">
        <v>17846</v>
      </c>
    </row>
    <row r="299" spans="1:4" x14ac:dyDescent="0.3">
      <c r="A299" s="1">
        <v>46043</v>
      </c>
      <c r="B299" t="s">
        <v>92</v>
      </c>
      <c r="C299" t="s">
        <v>95</v>
      </c>
      <c r="D299">
        <v>43067</v>
      </c>
    </row>
    <row r="300" spans="1:4" x14ac:dyDescent="0.3">
      <c r="A300" s="1">
        <v>46071</v>
      </c>
      <c r="B300" t="s">
        <v>94</v>
      </c>
      <c r="C300" t="s">
        <v>93</v>
      </c>
      <c r="D300">
        <v>20203</v>
      </c>
    </row>
    <row r="301" spans="1:4" x14ac:dyDescent="0.3">
      <c r="A301" s="1">
        <v>46043</v>
      </c>
      <c r="B301" t="s">
        <v>92</v>
      </c>
      <c r="C301" t="s">
        <v>96</v>
      </c>
      <c r="D301">
        <v>59879</v>
      </c>
    </row>
    <row r="302" spans="1:4" x14ac:dyDescent="0.3">
      <c r="A302" s="1">
        <v>46092</v>
      </c>
      <c r="B302" t="s">
        <v>97</v>
      </c>
      <c r="C302" t="s">
        <v>99</v>
      </c>
      <c r="D302">
        <v>59852</v>
      </c>
    </row>
    <row r="303" spans="1:4" x14ac:dyDescent="0.3">
      <c r="A303" s="1">
        <v>46142</v>
      </c>
      <c r="B303" t="s">
        <v>97</v>
      </c>
      <c r="C303" t="s">
        <v>99</v>
      </c>
      <c r="D303">
        <v>50194</v>
      </c>
    </row>
    <row r="304" spans="1:4" x14ac:dyDescent="0.3">
      <c r="A304" s="1">
        <v>46117</v>
      </c>
      <c r="B304" t="s">
        <v>94</v>
      </c>
      <c r="C304" t="s">
        <v>99</v>
      </c>
      <c r="D304">
        <v>48936</v>
      </c>
    </row>
    <row r="305" spans="1:4" x14ac:dyDescent="0.3">
      <c r="A305" s="1">
        <v>46043</v>
      </c>
      <c r="B305" t="s">
        <v>92</v>
      </c>
      <c r="C305" t="s">
        <v>95</v>
      </c>
      <c r="D305">
        <v>21959</v>
      </c>
    </row>
    <row r="306" spans="1:4" x14ac:dyDescent="0.3">
      <c r="A306" s="1">
        <v>46029</v>
      </c>
      <c r="B306" t="s">
        <v>92</v>
      </c>
      <c r="C306" t="s">
        <v>99</v>
      </c>
      <c r="D306">
        <v>40646</v>
      </c>
    </row>
    <row r="307" spans="1:4" x14ac:dyDescent="0.3">
      <c r="A307" s="1">
        <v>46034</v>
      </c>
      <c r="B307" t="s">
        <v>94</v>
      </c>
      <c r="C307" t="s">
        <v>93</v>
      </c>
      <c r="D307">
        <v>52746</v>
      </c>
    </row>
    <row r="308" spans="1:4" x14ac:dyDescent="0.3">
      <c r="A308" s="1">
        <v>46061</v>
      </c>
      <c r="B308" t="s">
        <v>98</v>
      </c>
      <c r="C308" t="s">
        <v>99</v>
      </c>
      <c r="D308">
        <v>59565</v>
      </c>
    </row>
    <row r="309" spans="1:4" x14ac:dyDescent="0.3">
      <c r="A309" s="1">
        <v>46110</v>
      </c>
      <c r="B309" t="s">
        <v>94</v>
      </c>
      <c r="C309" t="s">
        <v>95</v>
      </c>
      <c r="D309">
        <v>15320</v>
      </c>
    </row>
    <row r="310" spans="1:4" x14ac:dyDescent="0.3">
      <c r="A310" s="1">
        <v>46065</v>
      </c>
      <c r="B310" t="s">
        <v>92</v>
      </c>
      <c r="C310" t="s">
        <v>95</v>
      </c>
      <c r="D310">
        <v>17425</v>
      </c>
    </row>
    <row r="311" spans="1:4" x14ac:dyDescent="0.3">
      <c r="A311" s="1">
        <v>46064</v>
      </c>
      <c r="B311" t="s">
        <v>97</v>
      </c>
      <c r="C311" t="s">
        <v>95</v>
      </c>
      <c r="D311">
        <v>57411</v>
      </c>
    </row>
    <row r="312" spans="1:4" x14ac:dyDescent="0.3">
      <c r="A312" s="1">
        <v>46031</v>
      </c>
      <c r="B312" t="s">
        <v>94</v>
      </c>
      <c r="C312" t="s">
        <v>93</v>
      </c>
      <c r="D312">
        <v>45613</v>
      </c>
    </row>
    <row r="313" spans="1:4" x14ac:dyDescent="0.3">
      <c r="A313" s="1">
        <v>46048</v>
      </c>
      <c r="B313" t="s">
        <v>94</v>
      </c>
      <c r="C313" t="s">
        <v>99</v>
      </c>
      <c r="D313">
        <v>18025</v>
      </c>
    </row>
    <row r="314" spans="1:4" x14ac:dyDescent="0.3">
      <c r="A314" s="1">
        <v>46124</v>
      </c>
      <c r="B314" t="s">
        <v>97</v>
      </c>
      <c r="C314" t="s">
        <v>93</v>
      </c>
      <c r="D314">
        <v>12945</v>
      </c>
    </row>
    <row r="315" spans="1:4" x14ac:dyDescent="0.3">
      <c r="A315" s="1">
        <v>46076</v>
      </c>
      <c r="B315" t="s">
        <v>97</v>
      </c>
      <c r="C315" t="s">
        <v>96</v>
      </c>
      <c r="D315">
        <v>4843</v>
      </c>
    </row>
    <row r="316" spans="1:4" x14ac:dyDescent="0.3">
      <c r="A316" s="1">
        <v>46049</v>
      </c>
      <c r="B316" t="s">
        <v>97</v>
      </c>
      <c r="C316" t="s">
        <v>99</v>
      </c>
      <c r="D316">
        <v>59677</v>
      </c>
    </row>
    <row r="317" spans="1:4" x14ac:dyDescent="0.3">
      <c r="A317" s="1">
        <v>46094</v>
      </c>
      <c r="B317" t="s">
        <v>98</v>
      </c>
      <c r="C317" t="s">
        <v>93</v>
      </c>
      <c r="D317">
        <v>34074</v>
      </c>
    </row>
    <row r="318" spans="1:4" x14ac:dyDescent="0.3">
      <c r="A318" s="1">
        <v>46106</v>
      </c>
      <c r="B318" t="s">
        <v>94</v>
      </c>
      <c r="C318" t="s">
        <v>95</v>
      </c>
      <c r="D318">
        <v>12440</v>
      </c>
    </row>
    <row r="319" spans="1:4" x14ac:dyDescent="0.3">
      <c r="A319" s="1">
        <v>46117</v>
      </c>
      <c r="B319" t="s">
        <v>92</v>
      </c>
      <c r="C319" t="s">
        <v>96</v>
      </c>
      <c r="D319">
        <v>27164</v>
      </c>
    </row>
    <row r="320" spans="1:4" x14ac:dyDescent="0.3">
      <c r="A320" s="1">
        <v>46124</v>
      </c>
      <c r="B320" t="s">
        <v>92</v>
      </c>
      <c r="C320" t="s">
        <v>95</v>
      </c>
      <c r="D320">
        <v>9412</v>
      </c>
    </row>
    <row r="321" spans="1:4" x14ac:dyDescent="0.3">
      <c r="A321" s="1">
        <v>46028</v>
      </c>
      <c r="B321" t="s">
        <v>92</v>
      </c>
      <c r="C321" t="s">
        <v>95</v>
      </c>
      <c r="D321">
        <v>14368</v>
      </c>
    </row>
    <row r="322" spans="1:4" x14ac:dyDescent="0.3">
      <c r="A322" s="1">
        <v>46026</v>
      </c>
      <c r="B322" t="s">
        <v>98</v>
      </c>
      <c r="C322" t="s">
        <v>93</v>
      </c>
      <c r="D322">
        <v>6377</v>
      </c>
    </row>
    <row r="323" spans="1:4" x14ac:dyDescent="0.3">
      <c r="A323" s="1">
        <v>46142</v>
      </c>
      <c r="B323" t="s">
        <v>92</v>
      </c>
      <c r="C323" t="s">
        <v>95</v>
      </c>
      <c r="D323">
        <v>25939</v>
      </c>
    </row>
    <row r="324" spans="1:4" x14ac:dyDescent="0.3">
      <c r="A324" s="1">
        <v>46065</v>
      </c>
      <c r="B324" t="s">
        <v>98</v>
      </c>
      <c r="C324" t="s">
        <v>99</v>
      </c>
      <c r="D324">
        <v>24578</v>
      </c>
    </row>
    <row r="325" spans="1:4" x14ac:dyDescent="0.3">
      <c r="A325" s="1">
        <v>46080</v>
      </c>
      <c r="B325" t="s">
        <v>92</v>
      </c>
      <c r="C325" t="s">
        <v>96</v>
      </c>
      <c r="D325">
        <v>5608</v>
      </c>
    </row>
    <row r="326" spans="1:4" x14ac:dyDescent="0.3">
      <c r="A326" s="1">
        <v>46088</v>
      </c>
      <c r="B326" t="s">
        <v>94</v>
      </c>
      <c r="C326" t="s">
        <v>96</v>
      </c>
      <c r="D326">
        <v>29565</v>
      </c>
    </row>
    <row r="327" spans="1:4" x14ac:dyDescent="0.3">
      <c r="A327" s="1">
        <v>46100</v>
      </c>
      <c r="B327" t="s">
        <v>97</v>
      </c>
      <c r="C327" t="s">
        <v>96</v>
      </c>
      <c r="D327">
        <v>33907</v>
      </c>
    </row>
    <row r="328" spans="1:4" x14ac:dyDescent="0.3">
      <c r="A328" s="1">
        <v>46045</v>
      </c>
      <c r="B328" t="s">
        <v>94</v>
      </c>
      <c r="C328" t="s">
        <v>96</v>
      </c>
      <c r="D328">
        <v>3073</v>
      </c>
    </row>
    <row r="329" spans="1:4" x14ac:dyDescent="0.3">
      <c r="A329" s="1">
        <v>46042</v>
      </c>
      <c r="B329" t="s">
        <v>98</v>
      </c>
      <c r="C329" t="s">
        <v>96</v>
      </c>
      <c r="D329">
        <v>32780</v>
      </c>
    </row>
    <row r="330" spans="1:4" x14ac:dyDescent="0.3">
      <c r="A330" s="1">
        <v>46037</v>
      </c>
      <c r="B330" t="s">
        <v>97</v>
      </c>
      <c r="C330" t="s">
        <v>93</v>
      </c>
      <c r="D330">
        <v>57419</v>
      </c>
    </row>
    <row r="331" spans="1:4" x14ac:dyDescent="0.3">
      <c r="A331" s="1">
        <v>46035</v>
      </c>
      <c r="B331" t="s">
        <v>94</v>
      </c>
      <c r="C331" t="s">
        <v>96</v>
      </c>
      <c r="D331">
        <v>51903</v>
      </c>
    </row>
    <row r="332" spans="1:4" x14ac:dyDescent="0.3">
      <c r="A332" s="1">
        <v>46079</v>
      </c>
      <c r="B332" t="s">
        <v>92</v>
      </c>
      <c r="C332" t="s">
        <v>95</v>
      </c>
      <c r="D332">
        <v>22490</v>
      </c>
    </row>
    <row r="333" spans="1:4" x14ac:dyDescent="0.3">
      <c r="A333" s="1">
        <v>46072</v>
      </c>
      <c r="B333" t="s">
        <v>94</v>
      </c>
      <c r="C333" t="s">
        <v>99</v>
      </c>
      <c r="D333">
        <v>17501</v>
      </c>
    </row>
    <row r="334" spans="1:4" x14ac:dyDescent="0.3">
      <c r="A334" s="1">
        <v>46040</v>
      </c>
      <c r="B334" t="s">
        <v>92</v>
      </c>
      <c r="C334" t="s">
        <v>93</v>
      </c>
      <c r="D334">
        <v>48790</v>
      </c>
    </row>
    <row r="335" spans="1:4" x14ac:dyDescent="0.3">
      <c r="A335" s="1">
        <v>46034</v>
      </c>
      <c r="B335" t="s">
        <v>97</v>
      </c>
      <c r="C335" t="s">
        <v>99</v>
      </c>
      <c r="D335">
        <v>3052</v>
      </c>
    </row>
    <row r="336" spans="1:4" x14ac:dyDescent="0.3">
      <c r="A336" s="1">
        <v>46101</v>
      </c>
      <c r="B336" t="s">
        <v>94</v>
      </c>
      <c r="C336" t="s">
        <v>99</v>
      </c>
      <c r="D336">
        <v>46525</v>
      </c>
    </row>
    <row r="337" spans="1:4" x14ac:dyDescent="0.3">
      <c r="A337" s="1">
        <v>46053</v>
      </c>
      <c r="B337" t="s">
        <v>94</v>
      </c>
      <c r="C337" t="s">
        <v>96</v>
      </c>
      <c r="D337">
        <v>10120</v>
      </c>
    </row>
    <row r="338" spans="1:4" x14ac:dyDescent="0.3">
      <c r="A338" s="1">
        <v>46050</v>
      </c>
      <c r="B338" t="s">
        <v>98</v>
      </c>
      <c r="C338" t="s">
        <v>95</v>
      </c>
      <c r="D338">
        <v>22384</v>
      </c>
    </row>
    <row r="339" spans="1:4" x14ac:dyDescent="0.3">
      <c r="A339" s="1">
        <v>46141</v>
      </c>
      <c r="B339" t="s">
        <v>94</v>
      </c>
      <c r="C339" t="s">
        <v>93</v>
      </c>
      <c r="D339">
        <v>11637</v>
      </c>
    </row>
    <row r="340" spans="1:4" x14ac:dyDescent="0.3">
      <c r="A340" s="1">
        <v>46115</v>
      </c>
      <c r="B340" t="s">
        <v>94</v>
      </c>
      <c r="C340" t="s">
        <v>99</v>
      </c>
      <c r="D340">
        <v>52173</v>
      </c>
    </row>
    <row r="341" spans="1:4" x14ac:dyDescent="0.3">
      <c r="A341" s="1">
        <v>46053</v>
      </c>
      <c r="B341" t="s">
        <v>97</v>
      </c>
      <c r="C341" t="s">
        <v>99</v>
      </c>
      <c r="D341">
        <v>15436</v>
      </c>
    </row>
    <row r="342" spans="1:4" x14ac:dyDescent="0.3">
      <c r="A342" s="1">
        <v>46065</v>
      </c>
      <c r="B342" t="s">
        <v>92</v>
      </c>
      <c r="C342" t="s">
        <v>95</v>
      </c>
      <c r="D342">
        <v>14249</v>
      </c>
    </row>
    <row r="343" spans="1:4" x14ac:dyDescent="0.3">
      <c r="A343" s="1">
        <v>46135</v>
      </c>
      <c r="B343" t="s">
        <v>92</v>
      </c>
      <c r="C343" t="s">
        <v>96</v>
      </c>
      <c r="D343">
        <v>23735</v>
      </c>
    </row>
    <row r="344" spans="1:4" x14ac:dyDescent="0.3">
      <c r="A344" s="1">
        <v>46082</v>
      </c>
      <c r="B344" t="s">
        <v>92</v>
      </c>
      <c r="C344" t="s">
        <v>99</v>
      </c>
      <c r="D344">
        <v>9467</v>
      </c>
    </row>
    <row r="345" spans="1:4" x14ac:dyDescent="0.3">
      <c r="A345" s="1">
        <v>46128</v>
      </c>
      <c r="B345" t="s">
        <v>97</v>
      </c>
      <c r="C345" t="s">
        <v>93</v>
      </c>
      <c r="D345">
        <v>9403</v>
      </c>
    </row>
    <row r="346" spans="1:4" x14ac:dyDescent="0.3">
      <c r="A346" s="1">
        <v>46115</v>
      </c>
      <c r="B346" t="s">
        <v>98</v>
      </c>
      <c r="C346" t="s">
        <v>93</v>
      </c>
      <c r="D346">
        <v>8768</v>
      </c>
    </row>
    <row r="347" spans="1:4" x14ac:dyDescent="0.3">
      <c r="A347" s="1">
        <v>46073</v>
      </c>
      <c r="B347" t="s">
        <v>94</v>
      </c>
      <c r="C347" t="s">
        <v>99</v>
      </c>
      <c r="D347">
        <v>8952</v>
      </c>
    </row>
    <row r="348" spans="1:4" x14ac:dyDescent="0.3">
      <c r="A348" s="1">
        <v>46059</v>
      </c>
      <c r="B348" t="s">
        <v>97</v>
      </c>
      <c r="C348" t="s">
        <v>95</v>
      </c>
      <c r="D348">
        <v>11098</v>
      </c>
    </row>
    <row r="349" spans="1:4" x14ac:dyDescent="0.3">
      <c r="A349" s="1">
        <v>46044</v>
      </c>
      <c r="B349" t="s">
        <v>94</v>
      </c>
      <c r="C349" t="s">
        <v>95</v>
      </c>
      <c r="D349">
        <v>47153</v>
      </c>
    </row>
    <row r="350" spans="1:4" x14ac:dyDescent="0.3">
      <c r="A350" s="1">
        <v>46050</v>
      </c>
      <c r="B350" t="s">
        <v>98</v>
      </c>
      <c r="C350" t="s">
        <v>99</v>
      </c>
      <c r="D350">
        <v>20489</v>
      </c>
    </row>
    <row r="351" spans="1:4" x14ac:dyDescent="0.3">
      <c r="A351" s="1">
        <v>46121</v>
      </c>
      <c r="B351" t="s">
        <v>92</v>
      </c>
      <c r="C351" t="s">
        <v>93</v>
      </c>
      <c r="D351">
        <v>7915</v>
      </c>
    </row>
    <row r="352" spans="1:4" x14ac:dyDescent="0.3">
      <c r="A352" s="1">
        <v>46033</v>
      </c>
      <c r="B352" t="s">
        <v>92</v>
      </c>
      <c r="C352" t="s">
        <v>96</v>
      </c>
      <c r="D352">
        <v>44864</v>
      </c>
    </row>
    <row r="353" spans="1:4" x14ac:dyDescent="0.3">
      <c r="A353" s="1">
        <v>46120</v>
      </c>
      <c r="B353" t="s">
        <v>97</v>
      </c>
      <c r="C353" t="s">
        <v>95</v>
      </c>
      <c r="D353">
        <v>54984</v>
      </c>
    </row>
    <row r="354" spans="1:4" x14ac:dyDescent="0.3">
      <c r="A354" s="1">
        <v>46142</v>
      </c>
      <c r="B354" t="s">
        <v>92</v>
      </c>
      <c r="C354" t="s">
        <v>96</v>
      </c>
      <c r="D354">
        <v>4887</v>
      </c>
    </row>
    <row r="355" spans="1:4" x14ac:dyDescent="0.3">
      <c r="A355" s="1">
        <v>46122</v>
      </c>
      <c r="B355" t="s">
        <v>92</v>
      </c>
      <c r="C355" t="s">
        <v>99</v>
      </c>
      <c r="D355">
        <v>5785</v>
      </c>
    </row>
    <row r="356" spans="1:4" x14ac:dyDescent="0.3">
      <c r="A356" s="1">
        <v>46029</v>
      </c>
      <c r="B356" t="s">
        <v>98</v>
      </c>
      <c r="C356" t="s">
        <v>95</v>
      </c>
      <c r="D356">
        <v>16888</v>
      </c>
    </row>
    <row r="357" spans="1:4" x14ac:dyDescent="0.3">
      <c r="A357" s="1">
        <v>46097</v>
      </c>
      <c r="B357" t="s">
        <v>97</v>
      </c>
      <c r="C357" t="s">
        <v>99</v>
      </c>
      <c r="D357">
        <v>57647</v>
      </c>
    </row>
    <row r="358" spans="1:4" x14ac:dyDescent="0.3">
      <c r="A358" s="1">
        <v>46130</v>
      </c>
      <c r="B358" t="s">
        <v>94</v>
      </c>
      <c r="C358" t="s">
        <v>99</v>
      </c>
      <c r="D358">
        <v>23751</v>
      </c>
    </row>
    <row r="359" spans="1:4" x14ac:dyDescent="0.3">
      <c r="A359" s="1">
        <v>46124</v>
      </c>
      <c r="B359" t="s">
        <v>94</v>
      </c>
      <c r="C359" t="s">
        <v>93</v>
      </c>
      <c r="D359">
        <v>55995</v>
      </c>
    </row>
    <row r="360" spans="1:4" x14ac:dyDescent="0.3">
      <c r="A360" s="1">
        <v>46142</v>
      </c>
      <c r="B360" t="s">
        <v>97</v>
      </c>
      <c r="C360" t="s">
        <v>95</v>
      </c>
      <c r="D360">
        <v>56369</v>
      </c>
    </row>
    <row r="361" spans="1:4" x14ac:dyDescent="0.3">
      <c r="A361" s="1">
        <v>46076</v>
      </c>
      <c r="B361" t="s">
        <v>98</v>
      </c>
      <c r="C361" t="s">
        <v>93</v>
      </c>
      <c r="D361">
        <v>50964</v>
      </c>
    </row>
    <row r="362" spans="1:4" x14ac:dyDescent="0.3">
      <c r="A362" s="1">
        <v>46143</v>
      </c>
      <c r="B362" t="s">
        <v>92</v>
      </c>
      <c r="C362" t="s">
        <v>99</v>
      </c>
      <c r="D362">
        <v>47811</v>
      </c>
    </row>
    <row r="363" spans="1:4" x14ac:dyDescent="0.3">
      <c r="A363" s="1">
        <v>46087</v>
      </c>
      <c r="B363" t="s">
        <v>92</v>
      </c>
      <c r="C363" t="s">
        <v>99</v>
      </c>
      <c r="D363">
        <v>20956</v>
      </c>
    </row>
    <row r="364" spans="1:4" x14ac:dyDescent="0.3">
      <c r="A364" s="1">
        <v>46080</v>
      </c>
      <c r="B364" t="s">
        <v>92</v>
      </c>
      <c r="C364" t="s">
        <v>96</v>
      </c>
      <c r="D364">
        <v>18255</v>
      </c>
    </row>
    <row r="365" spans="1:4" x14ac:dyDescent="0.3">
      <c r="A365" s="1">
        <v>46042</v>
      </c>
      <c r="B365" t="s">
        <v>94</v>
      </c>
      <c r="C365" t="s">
        <v>96</v>
      </c>
      <c r="D365">
        <v>2179</v>
      </c>
    </row>
    <row r="366" spans="1:4" x14ac:dyDescent="0.3">
      <c r="A366" s="1">
        <v>46042</v>
      </c>
      <c r="B366" t="s">
        <v>98</v>
      </c>
      <c r="C366" t="s">
        <v>99</v>
      </c>
      <c r="D366">
        <v>15250</v>
      </c>
    </row>
    <row r="367" spans="1:4" x14ac:dyDescent="0.3">
      <c r="A367" s="1">
        <v>46092</v>
      </c>
      <c r="B367" t="s">
        <v>92</v>
      </c>
      <c r="C367" t="s">
        <v>96</v>
      </c>
      <c r="D367">
        <v>40763</v>
      </c>
    </row>
    <row r="368" spans="1:4" x14ac:dyDescent="0.3">
      <c r="A368" s="1">
        <v>46030</v>
      </c>
      <c r="B368" t="s">
        <v>94</v>
      </c>
      <c r="C368" t="s">
        <v>99</v>
      </c>
      <c r="D368">
        <v>44869</v>
      </c>
    </row>
    <row r="369" spans="1:4" x14ac:dyDescent="0.3">
      <c r="A369" s="1">
        <v>46070</v>
      </c>
      <c r="B369" t="s">
        <v>98</v>
      </c>
      <c r="C369" t="s">
        <v>93</v>
      </c>
      <c r="D369">
        <v>45374</v>
      </c>
    </row>
    <row r="370" spans="1:4" x14ac:dyDescent="0.3">
      <c r="A370" s="1">
        <v>46057</v>
      </c>
      <c r="B370" t="s">
        <v>98</v>
      </c>
      <c r="C370" t="s">
        <v>93</v>
      </c>
      <c r="D370">
        <v>50003</v>
      </c>
    </row>
    <row r="371" spans="1:4" x14ac:dyDescent="0.3">
      <c r="A371" s="1">
        <v>46105</v>
      </c>
      <c r="B371" t="s">
        <v>94</v>
      </c>
      <c r="C371" t="s">
        <v>95</v>
      </c>
      <c r="D371">
        <v>14269</v>
      </c>
    </row>
    <row r="372" spans="1:4" x14ac:dyDescent="0.3">
      <c r="A372" s="1">
        <v>46106</v>
      </c>
      <c r="B372" t="s">
        <v>97</v>
      </c>
      <c r="C372" t="s">
        <v>93</v>
      </c>
      <c r="D372">
        <v>2770</v>
      </c>
    </row>
    <row r="373" spans="1:4" x14ac:dyDescent="0.3">
      <c r="A373" s="1">
        <v>46044</v>
      </c>
      <c r="B373" t="s">
        <v>92</v>
      </c>
      <c r="C373" t="s">
        <v>95</v>
      </c>
      <c r="D373">
        <v>28466</v>
      </c>
    </row>
    <row r="374" spans="1:4" x14ac:dyDescent="0.3">
      <c r="A374" s="1">
        <v>46041</v>
      </c>
      <c r="B374" t="s">
        <v>98</v>
      </c>
      <c r="C374" t="s">
        <v>95</v>
      </c>
      <c r="D374">
        <v>54691</v>
      </c>
    </row>
    <row r="375" spans="1:4" x14ac:dyDescent="0.3">
      <c r="A375" s="1">
        <v>46119</v>
      </c>
      <c r="B375" t="s">
        <v>94</v>
      </c>
      <c r="C375" t="s">
        <v>93</v>
      </c>
      <c r="D375">
        <v>56117</v>
      </c>
    </row>
    <row r="376" spans="1:4" x14ac:dyDescent="0.3">
      <c r="A376" s="1">
        <v>46056</v>
      </c>
      <c r="B376" t="s">
        <v>97</v>
      </c>
      <c r="C376" t="s">
        <v>96</v>
      </c>
      <c r="D376">
        <v>2297</v>
      </c>
    </row>
    <row r="377" spans="1:4" x14ac:dyDescent="0.3">
      <c r="A377" s="1">
        <v>46072</v>
      </c>
      <c r="B377" t="s">
        <v>97</v>
      </c>
      <c r="C377" t="s">
        <v>95</v>
      </c>
      <c r="D377">
        <v>10933</v>
      </c>
    </row>
    <row r="378" spans="1:4" x14ac:dyDescent="0.3">
      <c r="A378" s="1">
        <v>46122</v>
      </c>
      <c r="B378" t="s">
        <v>92</v>
      </c>
      <c r="C378" t="s">
        <v>96</v>
      </c>
      <c r="D378">
        <v>58694</v>
      </c>
    </row>
    <row r="379" spans="1:4" x14ac:dyDescent="0.3">
      <c r="A379" s="1">
        <v>46124</v>
      </c>
      <c r="B379" t="s">
        <v>94</v>
      </c>
      <c r="C379" t="s">
        <v>99</v>
      </c>
      <c r="D379">
        <v>3677</v>
      </c>
    </row>
    <row r="380" spans="1:4" x14ac:dyDescent="0.3">
      <c r="A380" s="1">
        <v>46049</v>
      </c>
      <c r="B380" t="s">
        <v>97</v>
      </c>
      <c r="C380" t="s">
        <v>95</v>
      </c>
      <c r="D380">
        <v>40576</v>
      </c>
    </row>
    <row r="381" spans="1:4" x14ac:dyDescent="0.3">
      <c r="A381" s="1">
        <v>46076</v>
      </c>
      <c r="B381" t="s">
        <v>97</v>
      </c>
      <c r="C381" t="s">
        <v>93</v>
      </c>
      <c r="D381">
        <v>4861</v>
      </c>
    </row>
    <row r="382" spans="1:4" x14ac:dyDescent="0.3">
      <c r="A382" s="1">
        <v>46120</v>
      </c>
      <c r="B382" t="s">
        <v>98</v>
      </c>
      <c r="C382" t="s">
        <v>99</v>
      </c>
      <c r="D382">
        <v>18235</v>
      </c>
    </row>
    <row r="383" spans="1:4" x14ac:dyDescent="0.3">
      <c r="A383" s="1">
        <v>46066</v>
      </c>
      <c r="B383" t="s">
        <v>97</v>
      </c>
      <c r="C383" t="s">
        <v>95</v>
      </c>
      <c r="D383">
        <v>58434</v>
      </c>
    </row>
    <row r="384" spans="1:4" x14ac:dyDescent="0.3">
      <c r="A384" s="1">
        <v>46107</v>
      </c>
      <c r="B384" t="s">
        <v>98</v>
      </c>
      <c r="C384" t="s">
        <v>93</v>
      </c>
      <c r="D384">
        <v>28226</v>
      </c>
    </row>
    <row r="385" spans="1:4" x14ac:dyDescent="0.3">
      <c r="A385" s="1">
        <v>46044</v>
      </c>
      <c r="B385" t="s">
        <v>97</v>
      </c>
      <c r="C385" t="s">
        <v>96</v>
      </c>
      <c r="D385">
        <v>21736</v>
      </c>
    </row>
    <row r="386" spans="1:4" x14ac:dyDescent="0.3">
      <c r="A386" s="1">
        <v>46124</v>
      </c>
      <c r="B386" t="s">
        <v>98</v>
      </c>
      <c r="C386" t="s">
        <v>93</v>
      </c>
      <c r="D386">
        <v>39610</v>
      </c>
    </row>
    <row r="387" spans="1:4" x14ac:dyDescent="0.3">
      <c r="A387" s="1">
        <v>46081</v>
      </c>
      <c r="B387" t="s">
        <v>94</v>
      </c>
      <c r="C387" t="s">
        <v>93</v>
      </c>
      <c r="D387">
        <v>57362</v>
      </c>
    </row>
    <row r="388" spans="1:4" x14ac:dyDescent="0.3">
      <c r="A388" s="1">
        <v>46068</v>
      </c>
      <c r="B388" t="s">
        <v>92</v>
      </c>
      <c r="C388" t="s">
        <v>93</v>
      </c>
      <c r="D388">
        <v>27154</v>
      </c>
    </row>
    <row r="389" spans="1:4" x14ac:dyDescent="0.3">
      <c r="A389" s="1">
        <v>46042</v>
      </c>
      <c r="B389" t="s">
        <v>98</v>
      </c>
      <c r="C389" t="s">
        <v>99</v>
      </c>
      <c r="D389">
        <v>24851</v>
      </c>
    </row>
    <row r="390" spans="1:4" x14ac:dyDescent="0.3">
      <c r="A390" s="1">
        <v>46069</v>
      </c>
      <c r="B390" t="s">
        <v>94</v>
      </c>
      <c r="C390" t="s">
        <v>95</v>
      </c>
      <c r="D390">
        <v>45191</v>
      </c>
    </row>
    <row r="391" spans="1:4" x14ac:dyDescent="0.3">
      <c r="A391" s="1">
        <v>46088</v>
      </c>
      <c r="B391" t="s">
        <v>92</v>
      </c>
      <c r="C391" t="s">
        <v>99</v>
      </c>
      <c r="D391">
        <v>53161</v>
      </c>
    </row>
    <row r="392" spans="1:4" x14ac:dyDescent="0.3">
      <c r="A392" s="1">
        <v>46032</v>
      </c>
      <c r="B392" t="s">
        <v>92</v>
      </c>
      <c r="C392" t="s">
        <v>93</v>
      </c>
      <c r="D392">
        <v>22459</v>
      </c>
    </row>
    <row r="393" spans="1:4" x14ac:dyDescent="0.3">
      <c r="A393" s="1">
        <v>46047</v>
      </c>
      <c r="B393" t="s">
        <v>92</v>
      </c>
      <c r="C393" t="s">
        <v>93</v>
      </c>
      <c r="D393">
        <v>29810</v>
      </c>
    </row>
    <row r="394" spans="1:4" x14ac:dyDescent="0.3">
      <c r="A394" s="1">
        <v>46081</v>
      </c>
      <c r="B394" t="s">
        <v>97</v>
      </c>
      <c r="C394" t="s">
        <v>93</v>
      </c>
      <c r="D394">
        <v>34779</v>
      </c>
    </row>
    <row r="395" spans="1:4" x14ac:dyDescent="0.3">
      <c r="A395" s="1">
        <v>46044</v>
      </c>
      <c r="B395" t="s">
        <v>94</v>
      </c>
      <c r="C395" t="s">
        <v>99</v>
      </c>
      <c r="D395">
        <v>18900</v>
      </c>
    </row>
    <row r="396" spans="1:4" x14ac:dyDescent="0.3">
      <c r="A396" s="1">
        <v>46135</v>
      </c>
      <c r="B396" t="s">
        <v>94</v>
      </c>
      <c r="C396" t="s">
        <v>95</v>
      </c>
      <c r="D396">
        <v>2214</v>
      </c>
    </row>
    <row r="397" spans="1:4" x14ac:dyDescent="0.3">
      <c r="A397" s="1">
        <v>46065</v>
      </c>
      <c r="B397" t="s">
        <v>98</v>
      </c>
      <c r="C397" t="s">
        <v>99</v>
      </c>
      <c r="D397">
        <v>48412</v>
      </c>
    </row>
    <row r="398" spans="1:4" x14ac:dyDescent="0.3">
      <c r="A398" s="1">
        <v>46081</v>
      </c>
      <c r="B398" t="s">
        <v>94</v>
      </c>
      <c r="C398" t="s">
        <v>96</v>
      </c>
      <c r="D398">
        <v>44178</v>
      </c>
    </row>
    <row r="399" spans="1:4" x14ac:dyDescent="0.3">
      <c r="A399" s="1">
        <v>46059</v>
      </c>
      <c r="B399" t="s">
        <v>98</v>
      </c>
      <c r="C399" t="s">
        <v>95</v>
      </c>
      <c r="D399">
        <v>10435</v>
      </c>
    </row>
    <row r="400" spans="1:4" x14ac:dyDescent="0.3">
      <c r="A400" s="1">
        <v>46141</v>
      </c>
      <c r="B400" t="s">
        <v>94</v>
      </c>
      <c r="C400" t="s">
        <v>99</v>
      </c>
      <c r="D400">
        <v>59949</v>
      </c>
    </row>
    <row r="401" spans="1:4" x14ac:dyDescent="0.3">
      <c r="A401" s="1">
        <v>46076</v>
      </c>
      <c r="B401" t="s">
        <v>94</v>
      </c>
      <c r="C401" t="s">
        <v>96</v>
      </c>
      <c r="D401">
        <v>46251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B0BB7-E72F-48BD-ADE4-5824C1651F93}">
  <dimension ref="A1:C35"/>
  <sheetViews>
    <sheetView zoomScale="120" zoomScaleNormal="120" workbookViewId="0">
      <selection activeCell="B22" sqref="B22"/>
    </sheetView>
  </sheetViews>
  <sheetFormatPr defaultRowHeight="14.4" x14ac:dyDescent="0.3"/>
  <cols>
    <col min="1" max="1" width="26.77734375" bestFit="1" customWidth="1"/>
    <col min="2" max="2" width="29.109375" bestFit="1" customWidth="1"/>
    <col min="3" max="3" width="103.109375" bestFit="1" customWidth="1"/>
  </cols>
  <sheetData>
    <row r="1" spans="1:3" x14ac:dyDescent="0.3">
      <c r="A1" s="2" t="s">
        <v>303</v>
      </c>
      <c r="B1" s="2" t="s">
        <v>304</v>
      </c>
      <c r="C1" s="2" t="s">
        <v>305</v>
      </c>
    </row>
    <row r="2" spans="1:3" x14ac:dyDescent="0.3">
      <c r="A2" s="3" t="s">
        <v>80</v>
      </c>
      <c r="B2" s="3" t="s">
        <v>306</v>
      </c>
      <c r="C2" s="3" t="s">
        <v>307</v>
      </c>
    </row>
    <row r="3" spans="1:3" x14ac:dyDescent="0.3">
      <c r="A3" s="3" t="s">
        <v>80</v>
      </c>
      <c r="B3" s="3" t="s">
        <v>308</v>
      </c>
      <c r="C3" s="3" t="s">
        <v>309</v>
      </c>
    </row>
    <row r="4" spans="1:3" x14ac:dyDescent="0.3">
      <c r="A4" s="3" t="s">
        <v>310</v>
      </c>
      <c r="B4" s="3" t="s">
        <v>311</v>
      </c>
      <c r="C4" s="3" t="s">
        <v>312</v>
      </c>
    </row>
    <row r="5" spans="1:3" x14ac:dyDescent="0.3">
      <c r="A5" s="3" t="s">
        <v>86</v>
      </c>
      <c r="B5" s="3" t="s">
        <v>313</v>
      </c>
      <c r="C5" s="3" t="s">
        <v>314</v>
      </c>
    </row>
    <row r="6" spans="1:3" x14ac:dyDescent="0.3">
      <c r="A6" s="3" t="s">
        <v>86</v>
      </c>
      <c r="B6" s="3" t="s">
        <v>315</v>
      </c>
      <c r="C6" s="3" t="s">
        <v>316</v>
      </c>
    </row>
    <row r="7" spans="1:3" x14ac:dyDescent="0.3">
      <c r="A7" s="3" t="s">
        <v>82</v>
      </c>
      <c r="B7" s="3" t="s">
        <v>317</v>
      </c>
      <c r="C7" s="3" t="s">
        <v>318</v>
      </c>
    </row>
    <row r="8" spans="1:3" x14ac:dyDescent="0.3">
      <c r="A8" s="3" t="s">
        <v>82</v>
      </c>
      <c r="B8" s="3" t="s">
        <v>319</v>
      </c>
      <c r="C8" s="3" t="s">
        <v>320</v>
      </c>
    </row>
    <row r="9" spans="1:3" x14ac:dyDescent="0.3">
      <c r="A9" s="3" t="s">
        <v>321</v>
      </c>
      <c r="B9" s="3" t="s">
        <v>322</v>
      </c>
      <c r="C9" s="3" t="s">
        <v>323</v>
      </c>
    </row>
    <row r="10" spans="1:3" x14ac:dyDescent="0.3">
      <c r="A10" s="3" t="s">
        <v>321</v>
      </c>
      <c r="B10" s="3" t="s">
        <v>324</v>
      </c>
      <c r="C10" s="3" t="s">
        <v>325</v>
      </c>
    </row>
    <row r="11" spans="1:3" x14ac:dyDescent="0.3">
      <c r="A11" s="3" t="s">
        <v>83</v>
      </c>
      <c r="B11" s="3" t="s">
        <v>326</v>
      </c>
      <c r="C11" s="3" t="s">
        <v>327</v>
      </c>
    </row>
    <row r="12" spans="1:3" x14ac:dyDescent="0.3">
      <c r="A12" s="3" t="s">
        <v>83</v>
      </c>
      <c r="B12" s="3" t="s">
        <v>328</v>
      </c>
      <c r="C12" s="3" t="s">
        <v>329</v>
      </c>
    </row>
    <row r="13" spans="1:3" x14ac:dyDescent="0.3">
      <c r="A13" s="3" t="s">
        <v>84</v>
      </c>
      <c r="B13" s="3" t="s">
        <v>330</v>
      </c>
      <c r="C13" s="3" t="s">
        <v>331</v>
      </c>
    </row>
    <row r="14" spans="1:3" x14ac:dyDescent="0.3">
      <c r="A14" s="3" t="s">
        <v>84</v>
      </c>
      <c r="B14" s="3" t="s">
        <v>332</v>
      </c>
      <c r="C14" s="3" t="s">
        <v>333</v>
      </c>
    </row>
    <row r="15" spans="1:3" x14ac:dyDescent="0.3">
      <c r="A15" s="3" t="s">
        <v>85</v>
      </c>
      <c r="B15" s="3" t="s">
        <v>334</v>
      </c>
      <c r="C15" s="3" t="s">
        <v>335</v>
      </c>
    </row>
    <row r="16" spans="1:3" x14ac:dyDescent="0.3">
      <c r="A16" s="3" t="s">
        <v>85</v>
      </c>
      <c r="B16" s="3" t="s">
        <v>336</v>
      </c>
      <c r="C16" s="3" t="s">
        <v>337</v>
      </c>
    </row>
    <row r="17" spans="1:3" x14ac:dyDescent="0.3">
      <c r="A17" s="3" t="s">
        <v>87</v>
      </c>
      <c r="B17" s="3" t="s">
        <v>338</v>
      </c>
      <c r="C17" s="3" t="s">
        <v>339</v>
      </c>
    </row>
    <row r="18" spans="1:3" x14ac:dyDescent="0.3">
      <c r="A18" s="3" t="s">
        <v>87</v>
      </c>
      <c r="B18" s="3" t="s">
        <v>340</v>
      </c>
      <c r="C18" s="3" t="s">
        <v>341</v>
      </c>
    </row>
    <row r="19" spans="1:3" x14ac:dyDescent="0.3">
      <c r="A19" s="3" t="s">
        <v>81</v>
      </c>
      <c r="B19" s="3" t="s">
        <v>342</v>
      </c>
      <c r="C19" s="3" t="s">
        <v>343</v>
      </c>
    </row>
    <row r="20" spans="1:3" x14ac:dyDescent="0.3">
      <c r="A20" s="3" t="s">
        <v>81</v>
      </c>
      <c r="B20" s="3" t="s">
        <v>344</v>
      </c>
      <c r="C20" s="3" t="s">
        <v>345</v>
      </c>
    </row>
    <row r="21" spans="1:3" x14ac:dyDescent="0.3">
      <c r="A21" s="3" t="s">
        <v>81</v>
      </c>
      <c r="B21" s="3" t="s">
        <v>346</v>
      </c>
      <c r="C21" s="3" t="s">
        <v>347</v>
      </c>
    </row>
    <row r="29" spans="1:3" x14ac:dyDescent="0.3">
      <c r="A29" s="4" t="s">
        <v>303</v>
      </c>
      <c r="B29" s="4" t="s">
        <v>304</v>
      </c>
      <c r="C29" s="4" t="s">
        <v>305</v>
      </c>
    </row>
    <row r="30" spans="1:3" ht="28.8" x14ac:dyDescent="0.3">
      <c r="A30" s="5" t="s">
        <v>81</v>
      </c>
      <c r="B30" s="5" t="s">
        <v>348</v>
      </c>
      <c r="C30" s="5" t="s">
        <v>349</v>
      </c>
    </row>
    <row r="31" spans="1:3" ht="28.8" x14ac:dyDescent="0.3">
      <c r="A31" s="5" t="s">
        <v>81</v>
      </c>
      <c r="B31" s="5" t="s">
        <v>350</v>
      </c>
      <c r="C31" s="5" t="s">
        <v>351</v>
      </c>
    </row>
    <row r="32" spans="1:3" ht="28.8" x14ac:dyDescent="0.3">
      <c r="A32" s="5" t="s">
        <v>87</v>
      </c>
      <c r="B32" s="5" t="s">
        <v>352</v>
      </c>
      <c r="C32" s="5" t="s">
        <v>353</v>
      </c>
    </row>
    <row r="33" spans="1:3" x14ac:dyDescent="0.3">
      <c r="A33" s="5" t="s">
        <v>83</v>
      </c>
      <c r="B33" s="5" t="s">
        <v>354</v>
      </c>
      <c r="C33" s="5" t="s">
        <v>355</v>
      </c>
    </row>
    <row r="34" spans="1:3" ht="28.8" x14ac:dyDescent="0.3">
      <c r="A34" s="5" t="s">
        <v>81</v>
      </c>
      <c r="B34" s="5" t="s">
        <v>356</v>
      </c>
      <c r="C34" s="5" t="s">
        <v>357</v>
      </c>
    </row>
    <row r="35" spans="1:3" ht="28.8" x14ac:dyDescent="0.3">
      <c r="A35" s="5" t="s">
        <v>81</v>
      </c>
      <c r="B35" s="5" t="s">
        <v>358</v>
      </c>
      <c r="C35" s="5" t="s">
        <v>359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06C06-CC80-458D-8714-023622C29FD9}">
  <sheetPr>
    <tabColor theme="5" tint="0.79998168889431442"/>
  </sheetPr>
  <dimension ref="A1:J48"/>
  <sheetViews>
    <sheetView workbookViewId="0">
      <pane ySplit="3" topLeftCell="A4" activePane="bottomLeft" state="frozen"/>
      <selection sqref="A1:E1"/>
      <selection pane="bottomLeft" activeCell="A4" sqref="A4"/>
    </sheetView>
  </sheetViews>
  <sheetFormatPr defaultRowHeight="14.4" x14ac:dyDescent="0.3"/>
  <cols>
    <col min="1" max="1" width="22.21875" customWidth="1"/>
    <col min="2" max="6" width="18.5546875" customWidth="1"/>
  </cols>
  <sheetData>
    <row r="1" spans="1:10" ht="40.049999999999997" customHeight="1" x14ac:dyDescent="0.6">
      <c r="A1" s="152" t="s">
        <v>659</v>
      </c>
      <c r="B1" s="153"/>
      <c r="C1" s="153"/>
      <c r="D1" s="153"/>
      <c r="E1" s="153"/>
      <c r="F1" s="153"/>
      <c r="G1" s="153"/>
      <c r="H1" s="153"/>
      <c r="I1" s="153"/>
      <c r="J1" s="153"/>
    </row>
    <row r="2" spans="1:10" ht="15.6" x14ac:dyDescent="0.3">
      <c r="A2" s="154" t="s">
        <v>660</v>
      </c>
      <c r="B2" s="153"/>
      <c r="C2" s="153"/>
      <c r="D2" s="153"/>
      <c r="E2" s="153"/>
      <c r="F2" s="153"/>
      <c r="G2" s="153"/>
      <c r="H2" s="153"/>
      <c r="I2" s="153"/>
      <c r="J2" s="153"/>
    </row>
    <row r="4" spans="1:10" ht="18" x14ac:dyDescent="0.35">
      <c r="A4" s="46" t="s">
        <v>661</v>
      </c>
    </row>
    <row r="5" spans="1:10" x14ac:dyDescent="0.3">
      <c r="A5" s="132" t="s">
        <v>662</v>
      </c>
      <c r="B5" s="132" t="s">
        <v>663</v>
      </c>
      <c r="C5" s="132" t="s">
        <v>664</v>
      </c>
      <c r="D5" s="132" t="s">
        <v>665</v>
      </c>
      <c r="E5" s="132" t="s">
        <v>666</v>
      </c>
    </row>
    <row r="6" spans="1:10" ht="30" customHeight="1" x14ac:dyDescent="0.4">
      <c r="A6" s="133">
        <f>SUM(Sales_Data!D:D)</f>
        <v>11819830</v>
      </c>
      <c r="B6" s="134">
        <f>COUNTA(Sales_Data!A:A)-1</f>
        <v>400</v>
      </c>
      <c r="C6" s="133">
        <f>AVERAGE(Sales_Data!D:D)</f>
        <v>29549.575000000001</v>
      </c>
      <c r="D6" s="134" t="str">
        <f>INDEX(A11:A14,MATCH(MAX(B11:B14),B11:B14,0))</f>
        <v>West</v>
      </c>
      <c r="E6" s="134" t="str">
        <f>INDEX(A20:A23,MATCH(MAX(B20:B23),B20:B23,0))</f>
        <v>Tally Course</v>
      </c>
    </row>
    <row r="8" spans="1:10" ht="17.399999999999999" x14ac:dyDescent="0.35">
      <c r="A8" s="135" t="s">
        <v>667</v>
      </c>
    </row>
    <row r="10" spans="1:10" x14ac:dyDescent="0.3">
      <c r="A10" s="136" t="s">
        <v>89</v>
      </c>
      <c r="B10" s="136" t="s">
        <v>662</v>
      </c>
      <c r="C10" s="136" t="s">
        <v>668</v>
      </c>
      <c r="D10" s="136" t="s">
        <v>669</v>
      </c>
      <c r="E10" s="136" t="s">
        <v>575</v>
      </c>
    </row>
    <row r="11" spans="1:10" x14ac:dyDescent="0.3">
      <c r="A11" s="40" t="s">
        <v>97</v>
      </c>
      <c r="B11" s="139">
        <f>SUMIF(Sales_Data!B:B,"East",Sales_Data!D:D)</f>
        <v>3000144</v>
      </c>
      <c r="C11" s="40">
        <f>COUNTIF(Sales_Data!B:B,"East")</f>
        <v>98</v>
      </c>
      <c r="D11" s="139">
        <f>AVERAGEIF(Sales_Data!B:B,"East",Sales_Data!D:D)</f>
        <v>30613.714285714286</v>
      </c>
      <c r="E11" s="140">
        <f>B11/SUM($B$11:$B$14)</f>
        <v>0.25382293992383986</v>
      </c>
    </row>
    <row r="12" spans="1:10" x14ac:dyDescent="0.3">
      <c r="A12" s="6" t="s">
        <v>92</v>
      </c>
      <c r="B12" s="137">
        <f>SUMIF(Sales_Data!B:B,"North",Sales_Data!D:D)</f>
        <v>2748083</v>
      </c>
      <c r="C12" s="6">
        <f>COUNTIF(Sales_Data!B:B,"North")</f>
        <v>105</v>
      </c>
      <c r="D12" s="137">
        <f>AVERAGEIF(Sales_Data!B:B,"North",Sales_Data!D:D)</f>
        <v>26172.219047619048</v>
      </c>
      <c r="E12" s="62">
        <f>B12/SUM($B$11:$B$14)</f>
        <v>0.23249767551648373</v>
      </c>
    </row>
    <row r="13" spans="1:10" x14ac:dyDescent="0.3">
      <c r="A13" s="40" t="s">
        <v>98</v>
      </c>
      <c r="B13" s="139">
        <f>SUMIF(Sales_Data!B:B,"South",Sales_Data!D:D)</f>
        <v>2464143</v>
      </c>
      <c r="C13" s="40">
        <f>COUNTIF(Sales_Data!B:B,"South")</f>
        <v>81</v>
      </c>
      <c r="D13" s="139">
        <f>AVERAGEIF(Sales_Data!B:B,"South",Sales_Data!D:D)</f>
        <v>30421.518518518518</v>
      </c>
      <c r="E13" s="140">
        <f>B13/SUM($B$11:$B$14)</f>
        <v>0.20847533340158023</v>
      </c>
    </row>
    <row r="14" spans="1:10" x14ac:dyDescent="0.3">
      <c r="A14" s="6" t="s">
        <v>94</v>
      </c>
      <c r="B14" s="137">
        <f>SUMIF(Sales_Data!B:B,"West",Sales_Data!D:D)</f>
        <v>3607460</v>
      </c>
      <c r="C14" s="6">
        <f>COUNTIF(Sales_Data!B:B,"West")</f>
        <v>116</v>
      </c>
      <c r="D14" s="137">
        <f>AVERAGEIF(Sales_Data!B:B,"West",Sales_Data!D:D)</f>
        <v>31098.793103448275</v>
      </c>
      <c r="E14" s="62">
        <f>B14/SUM($B$11:$B$14)</f>
        <v>0.30520405115809618</v>
      </c>
    </row>
    <row r="15" spans="1:10" x14ac:dyDescent="0.3">
      <c r="A15" s="110" t="s">
        <v>598</v>
      </c>
      <c r="B15" s="138">
        <f>SUM(B11:B14)</f>
        <v>11819830</v>
      </c>
      <c r="C15" s="110">
        <f>SUM(C11:C14)</f>
        <v>400</v>
      </c>
      <c r="D15" s="138">
        <f>AVERAGE(D11:D14)</f>
        <v>29576.561238825034</v>
      </c>
      <c r="E15" s="111">
        <f>SUM(E11:E14)</f>
        <v>1</v>
      </c>
    </row>
    <row r="17" spans="1:5" ht="17.399999999999999" x14ac:dyDescent="0.35">
      <c r="A17" s="135" t="s">
        <v>670</v>
      </c>
    </row>
    <row r="19" spans="1:5" x14ac:dyDescent="0.3">
      <c r="A19" s="141" t="s">
        <v>90</v>
      </c>
      <c r="B19" s="141" t="s">
        <v>662</v>
      </c>
      <c r="C19" s="141" t="s">
        <v>668</v>
      </c>
      <c r="D19" s="141" t="s">
        <v>669</v>
      </c>
      <c r="E19" s="141" t="s">
        <v>575</v>
      </c>
    </row>
    <row r="20" spans="1:5" x14ac:dyDescent="0.3">
      <c r="A20" s="113" t="s">
        <v>99</v>
      </c>
      <c r="B20" s="142">
        <f>SUMIF(Sales_Data!C:C,"Excel Course",Sales_Data!D:D)</f>
        <v>2954852</v>
      </c>
      <c r="C20" s="113">
        <f>COUNTIF(Sales_Data!C:C,"Excel Course")</f>
        <v>96</v>
      </c>
      <c r="D20" s="142">
        <f>AVERAGEIF(Sales_Data!C:C,"Excel Course",Sales_Data!D:D)</f>
        <v>30779.708333333332</v>
      </c>
      <c r="E20" s="114">
        <f>B20/SUM($B$20:$B$23)</f>
        <v>0.24999107432171191</v>
      </c>
    </row>
    <row r="21" spans="1:5" x14ac:dyDescent="0.3">
      <c r="A21" s="6" t="s">
        <v>96</v>
      </c>
      <c r="B21" s="137">
        <f>SUMIF(Sales_Data!C:C,"GST Course",Sales_Data!D:D)</f>
        <v>2919573</v>
      </c>
      <c r="C21" s="6">
        <f>COUNTIF(Sales_Data!C:C,"GST Course")</f>
        <v>108</v>
      </c>
      <c r="D21" s="137">
        <f>AVERAGEIF(Sales_Data!C:C,"GST Course",Sales_Data!D:D)</f>
        <v>27033.083333333332</v>
      </c>
      <c r="E21" s="62">
        <f>B21/SUM($B$20:$B$23)</f>
        <v>0.24700634442288932</v>
      </c>
    </row>
    <row r="22" spans="1:5" x14ac:dyDescent="0.3">
      <c r="A22" s="113" t="s">
        <v>93</v>
      </c>
      <c r="B22" s="142">
        <f>SUMIF(Sales_Data!C:C,"Power BI Course",Sales_Data!D:D)</f>
        <v>2667418</v>
      </c>
      <c r="C22" s="113">
        <f>COUNTIF(Sales_Data!C:C,"Power BI Course")</f>
        <v>89</v>
      </c>
      <c r="D22" s="142">
        <f>AVERAGEIF(Sales_Data!C:C,"Power BI Course",Sales_Data!D:D)</f>
        <v>29970.988764044945</v>
      </c>
      <c r="E22" s="114">
        <f>B22/SUM($B$20:$B$23)</f>
        <v>0.22567312727848032</v>
      </c>
    </row>
    <row r="23" spans="1:5" x14ac:dyDescent="0.3">
      <c r="A23" s="6" t="s">
        <v>95</v>
      </c>
      <c r="B23" s="137">
        <f>SUMIF(Sales_Data!C:C,"Tally Course",Sales_Data!D:D)</f>
        <v>3277987</v>
      </c>
      <c r="C23" s="6">
        <f>COUNTIF(Sales_Data!C:C,"Tally Course")</f>
        <v>107</v>
      </c>
      <c r="D23" s="137">
        <f>AVERAGEIF(Sales_Data!C:C,"Tally Course",Sales_Data!D:D)</f>
        <v>30635.392523364488</v>
      </c>
      <c r="E23" s="62">
        <f>B23/SUM($B$20:$B$23)</f>
        <v>0.27732945397691844</v>
      </c>
    </row>
    <row r="24" spans="1:5" x14ac:dyDescent="0.3">
      <c r="A24" s="110" t="s">
        <v>598</v>
      </c>
      <c r="B24" s="138">
        <f>SUM(B20:B23)</f>
        <v>11819830</v>
      </c>
      <c r="C24" s="110">
        <f>SUM(C20:C23)</f>
        <v>400</v>
      </c>
      <c r="D24" s="138">
        <f>AVERAGE(D20:D23)</f>
        <v>29604.793238519022</v>
      </c>
      <c r="E24" s="111">
        <f>SUM(E20:E23)</f>
        <v>1</v>
      </c>
    </row>
    <row r="26" spans="1:5" ht="17.399999999999999" x14ac:dyDescent="0.35">
      <c r="A26" s="135" t="s">
        <v>671</v>
      </c>
    </row>
    <row r="28" spans="1:5" x14ac:dyDescent="0.3">
      <c r="A28" s="143" t="s">
        <v>586</v>
      </c>
      <c r="B28" s="143" t="s">
        <v>662</v>
      </c>
      <c r="C28" s="143" t="s">
        <v>668</v>
      </c>
      <c r="D28" s="143" t="s">
        <v>669</v>
      </c>
    </row>
    <row r="29" spans="1:5" x14ac:dyDescent="0.3">
      <c r="A29" s="144">
        <v>46023</v>
      </c>
      <c r="B29" s="145">
        <f>SUMIFS(Sales_Data!D:D,Sales_Data!A:A,"&gt;="&amp;DATE(2026,1,1),Sales_Data!A:A,"&lt;="&amp;DATE(2026,1,31))</f>
        <v>2945349</v>
      </c>
      <c r="C29" s="146">
        <f>COUNTIFS(Sales_Data!A:A,"&gt;="&amp;DATE(2026,1,1),Sales_Data!A:A,"&lt;="&amp;DATE(2026,1,31))</f>
        <v>100</v>
      </c>
      <c r="D29" s="145">
        <f>IF(C29&gt;0,B29/C29,0)</f>
        <v>29453.49</v>
      </c>
    </row>
    <row r="30" spans="1:5" x14ac:dyDescent="0.3">
      <c r="A30" s="72">
        <v>46054</v>
      </c>
      <c r="B30" s="137">
        <f>SUMIFS(Sales_Data!D:D,Sales_Data!A:A,"&gt;="&amp;DATE(2026,2,1),Sales_Data!A:A,"&lt;="&amp;DATE(2026,2,28))</f>
        <v>2640404</v>
      </c>
      <c r="C30" s="6">
        <f>COUNTIFS(Sales_Data!A:A,"&gt;="&amp;DATE(2026,2,1),Sales_Data!A:A,"&lt;="&amp;DATE(2026,2,28))</f>
        <v>94</v>
      </c>
      <c r="D30" s="137">
        <f>IF(C30&gt;0,B30/C30,0)</f>
        <v>28089.40425531915</v>
      </c>
    </row>
    <row r="31" spans="1:5" x14ac:dyDescent="0.3">
      <c r="A31" s="144">
        <v>46082</v>
      </c>
      <c r="B31" s="145">
        <f>SUMIFS(Sales_Data!D:D,Sales_Data!A:A,"&gt;="&amp;DATE(2026,3,1),Sales_Data!A:A,"&lt;="&amp;DATE(2026,3,31))</f>
        <v>2731454</v>
      </c>
      <c r="C31" s="146">
        <f>COUNTIFS(Sales_Data!A:A,"&gt;="&amp;DATE(2026,3,1),Sales_Data!A:A,"&lt;="&amp;DATE(2026,3,31))</f>
        <v>95</v>
      </c>
      <c r="D31" s="145">
        <f>IF(C31&gt;0,B31/C31,0)</f>
        <v>28752.147368421054</v>
      </c>
    </row>
    <row r="32" spans="1:5" x14ac:dyDescent="0.3">
      <c r="A32" s="72">
        <v>46113</v>
      </c>
      <c r="B32" s="137">
        <f>SUMIFS(Sales_Data!D:D,Sales_Data!A:A,"&gt;="&amp;DATE(2026,4,1),Sales_Data!A:A,"&lt;="&amp;DATE(2026,4,30))</f>
        <v>3352394</v>
      </c>
      <c r="C32" s="6">
        <f>COUNTIFS(Sales_Data!A:A,"&gt;="&amp;DATE(2026,4,1),Sales_Data!A:A,"&lt;="&amp;DATE(2026,4,30))</f>
        <v>107</v>
      </c>
      <c r="D32" s="137">
        <f>IF(C32&gt;0,B32/C32,0)</f>
        <v>31330.785046728972</v>
      </c>
    </row>
    <row r="33" spans="1:6" x14ac:dyDescent="0.3">
      <c r="A33" s="110" t="s">
        <v>598</v>
      </c>
      <c r="B33" s="138">
        <f>SUM(B29:B32)</f>
        <v>11669601</v>
      </c>
      <c r="C33" s="110">
        <f>SUM(C29:C32)</f>
        <v>396</v>
      </c>
      <c r="D33" s="138">
        <f>IF(C33&gt;0,B33/C33,0)</f>
        <v>29468.689393939392</v>
      </c>
    </row>
    <row r="35" spans="1:6" ht="17.399999999999999" x14ac:dyDescent="0.35">
      <c r="A35" s="135" t="s">
        <v>672</v>
      </c>
    </row>
    <row r="37" spans="1:6" x14ac:dyDescent="0.3">
      <c r="A37" s="147" t="s">
        <v>673</v>
      </c>
      <c r="B37" s="147" t="s">
        <v>99</v>
      </c>
      <c r="C37" s="147" t="s">
        <v>96</v>
      </c>
      <c r="D37" s="147" t="s">
        <v>93</v>
      </c>
      <c r="E37" s="147" t="s">
        <v>95</v>
      </c>
      <c r="F37" s="147" t="s">
        <v>598</v>
      </c>
    </row>
    <row r="38" spans="1:6" x14ac:dyDescent="0.3">
      <c r="A38" s="149" t="s">
        <v>97</v>
      </c>
      <c r="B38" s="150">
        <f>SUMIFS(Sales_Data!D:D,Sales_Data!B:B,"East",Sales_Data!C:C,"Excel Course")</f>
        <v>604036</v>
      </c>
      <c r="C38" s="150">
        <f>SUMIFS(Sales_Data!D:D,Sales_Data!B:B,"East",Sales_Data!C:C,"GST Course")</f>
        <v>876421</v>
      </c>
      <c r="D38" s="150">
        <f>SUMIFS(Sales_Data!D:D,Sales_Data!B:B,"East",Sales_Data!C:C,"Power BI Course")</f>
        <v>584672</v>
      </c>
      <c r="E38" s="150">
        <f>SUMIFS(Sales_Data!D:D,Sales_Data!B:B,"East",Sales_Data!C:C,"Tally Course")</f>
        <v>935015</v>
      </c>
      <c r="F38" s="150">
        <f>SUM(B38:E38)</f>
        <v>3000144</v>
      </c>
    </row>
    <row r="39" spans="1:6" x14ac:dyDescent="0.3">
      <c r="A39" s="148" t="s">
        <v>92</v>
      </c>
      <c r="B39" s="137">
        <f>SUMIFS(Sales_Data!D:D,Sales_Data!B:B,"North",Sales_Data!C:C,"Excel Course")</f>
        <v>491115</v>
      </c>
      <c r="C39" s="137">
        <f>SUMIFS(Sales_Data!D:D,Sales_Data!B:B,"North",Sales_Data!C:C,"GST Course")</f>
        <v>582698</v>
      </c>
      <c r="D39" s="137">
        <f>SUMIFS(Sales_Data!D:D,Sales_Data!B:B,"North",Sales_Data!C:C,"Power BI Course")</f>
        <v>695522</v>
      </c>
      <c r="E39" s="137">
        <f>SUMIFS(Sales_Data!D:D,Sales_Data!B:B,"North",Sales_Data!C:C,"Tally Course")</f>
        <v>978748</v>
      </c>
      <c r="F39" s="137">
        <f>SUM(B39:E39)</f>
        <v>2748083</v>
      </c>
    </row>
    <row r="40" spans="1:6" x14ac:dyDescent="0.3">
      <c r="A40" s="149" t="s">
        <v>98</v>
      </c>
      <c r="B40" s="150">
        <f>SUMIFS(Sales_Data!D:D,Sales_Data!B:B,"South",Sales_Data!C:C,"Excel Course")</f>
        <v>920120</v>
      </c>
      <c r="C40" s="150">
        <f>SUMIFS(Sales_Data!D:D,Sales_Data!B:B,"South",Sales_Data!C:C,"GST Course")</f>
        <v>439632</v>
      </c>
      <c r="D40" s="150">
        <f>SUMIFS(Sales_Data!D:D,Sales_Data!B:B,"South",Sales_Data!C:C,"Power BI Course")</f>
        <v>534267</v>
      </c>
      <c r="E40" s="150">
        <f>SUMIFS(Sales_Data!D:D,Sales_Data!B:B,"South",Sales_Data!C:C,"Tally Course")</f>
        <v>570124</v>
      </c>
      <c r="F40" s="150">
        <f>SUM(B40:E40)</f>
        <v>2464143</v>
      </c>
    </row>
    <row r="41" spans="1:6" x14ac:dyDescent="0.3">
      <c r="A41" s="148" t="s">
        <v>94</v>
      </c>
      <c r="B41" s="137">
        <f>SUMIFS(Sales_Data!D:D,Sales_Data!B:B,"West",Sales_Data!C:C,"Excel Course")</f>
        <v>939581</v>
      </c>
      <c r="C41" s="137">
        <f>SUMIFS(Sales_Data!D:D,Sales_Data!B:B,"West",Sales_Data!C:C,"GST Course")</f>
        <v>1020822</v>
      </c>
      <c r="D41" s="137">
        <f>SUMIFS(Sales_Data!D:D,Sales_Data!B:B,"West",Sales_Data!C:C,"Power BI Course")</f>
        <v>852957</v>
      </c>
      <c r="E41" s="137">
        <f>SUMIFS(Sales_Data!D:D,Sales_Data!B:B,"West",Sales_Data!C:C,"Tally Course")</f>
        <v>794100</v>
      </c>
      <c r="F41" s="137">
        <f>SUM(B41:E41)</f>
        <v>3607460</v>
      </c>
    </row>
    <row r="42" spans="1:6" x14ac:dyDescent="0.3">
      <c r="A42" s="110" t="s">
        <v>598</v>
      </c>
      <c r="B42" s="138">
        <f>SUM(B38:B41)</f>
        <v>2954852</v>
      </c>
      <c r="C42" s="138">
        <f>SUM(C38:C41)</f>
        <v>2919573</v>
      </c>
      <c r="D42" s="138">
        <f>SUM(D38:D41)</f>
        <v>2667418</v>
      </c>
      <c r="E42" s="138">
        <f>SUM(E38:E41)</f>
        <v>3277987</v>
      </c>
      <c r="F42" s="138">
        <f>SUM(F38:F41)</f>
        <v>11819830</v>
      </c>
    </row>
    <row r="44" spans="1:6" ht="15.6" x14ac:dyDescent="0.3">
      <c r="A44" s="49" t="s">
        <v>674</v>
      </c>
    </row>
    <row r="45" spans="1:6" x14ac:dyDescent="0.3">
      <c r="A45" s="151" t="s">
        <v>675</v>
      </c>
    </row>
    <row r="46" spans="1:6" x14ac:dyDescent="0.3">
      <c r="A46" s="151" t="s">
        <v>676</v>
      </c>
    </row>
    <row r="47" spans="1:6" x14ac:dyDescent="0.3">
      <c r="A47" s="151" t="s">
        <v>677</v>
      </c>
    </row>
    <row r="48" spans="1:6" x14ac:dyDescent="0.3">
      <c r="A48" s="151" t="s">
        <v>678</v>
      </c>
    </row>
  </sheetData>
  <mergeCells count="2">
    <mergeCell ref="A1:J1"/>
    <mergeCell ref="A2:J2"/>
  </mergeCells>
  <conditionalFormatting sqref="B11:B14">
    <cfRule type="colorScale" priority="1">
      <colorScale>
        <cfvo type="min"/>
        <cfvo type="percentile" val="50"/>
        <cfvo type="max"/>
        <color rgb="FFF8696B"/>
        <color rgb="FFFFEB84"/>
        <color rgb="FF63BE7B"/>
      </colorScale>
    </cfRule>
  </conditionalFormatting>
  <conditionalFormatting sqref="B20:B23">
    <cfRule type="colorScale" priority="2">
      <colorScale>
        <cfvo type="min"/>
        <cfvo type="percentile" val="50"/>
        <cfvo type="max"/>
        <color rgb="FFF8696B"/>
        <color rgb="FFFFEB84"/>
        <color rgb="FF63BE7B"/>
      </colorScale>
    </cfRule>
  </conditionalFormatting>
  <conditionalFormatting sqref="B29:B32">
    <cfRule type="colorScale" priority="3">
      <colorScale>
        <cfvo type="min"/>
        <cfvo type="percentile" val="50"/>
        <cfvo type="max"/>
        <color rgb="FFF8696B"/>
        <color rgb="FFFFEB84"/>
        <color rgb="FF63BE7B"/>
      </colorScale>
    </cfRule>
  </conditionalFormatting>
  <conditionalFormatting sqref="B38:E41">
    <cfRule type="colorScale" priority="4">
      <colorScale>
        <cfvo type="min"/>
        <cfvo type="percentile" val="50"/>
        <cfvo type="max"/>
        <color rgb="FFFFFFFF"/>
        <color rgb="FFFFC000"/>
        <color rgb="FFC65911"/>
      </colorScale>
    </cfRule>
  </conditionalFormatting>
  <conditionalFormatting sqref="E11:E14">
    <cfRule type="dataBar" priority="5">
      <dataBar>
        <cfvo type="min"/>
        <cfvo type="max"/>
        <color rgb="FF5B9BD5"/>
      </dataBar>
      <extLst>
        <ext xmlns:x14="http://schemas.microsoft.com/office/spreadsheetml/2009/9/main" uri="{B025F937-C7B1-47D3-B67F-A62EFF666E3E}">
          <x14:id>{44939A97-F732-4D70-B11B-C4243630C7E6}</x14:id>
        </ext>
      </extLst>
    </cfRule>
  </conditionalFormatting>
  <conditionalFormatting sqref="E20:E23">
    <cfRule type="dataBar" priority="6">
      <dataBar>
        <cfvo type="min"/>
        <cfvo type="max"/>
        <color rgb="FF70AD47"/>
      </dataBar>
      <extLst>
        <ext xmlns:x14="http://schemas.microsoft.com/office/spreadsheetml/2009/9/main" uri="{B025F937-C7B1-47D3-B67F-A62EFF666E3E}">
          <x14:id>{BF026F43-89A6-45F3-9F60-4ACEA957B26B}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4939A97-F732-4D70-B11B-C4243630C7E6}">
            <x14:dataBar minLength="0" maxLength="100" border="1" direction="leftToRight" negativeBarColorSameAsPositive="1" axisPosition="none">
              <x14:cfvo type="min"/>
              <x14:cfvo type="max"/>
              <x14:borderColor rgb="FF5B9BD5"/>
            </x14:dataBar>
          </x14:cfRule>
          <xm:sqref>E11:E14</xm:sqref>
        </x14:conditionalFormatting>
        <x14:conditionalFormatting xmlns:xm="http://schemas.microsoft.com/office/excel/2006/main">
          <x14:cfRule type="dataBar" id="{BF026F43-89A6-45F3-9F60-4ACEA957B26B}">
            <x14:dataBar minLength="0" maxLength="100" border="1" direction="leftToRight" negativeBarColorSameAsPositive="1" axisPosition="none">
              <x14:cfvo type="min"/>
              <x14:cfvo type="max"/>
              <x14:borderColor rgb="FF70AD47"/>
            </x14:dataBar>
          </x14:cfRule>
          <xm:sqref>E20:E23</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B8DFD-87F3-41E5-AD42-142CE1C31BCC}">
  <sheetPr>
    <tabColor theme="5" tint="0.79998168889431442"/>
  </sheetPr>
  <dimension ref="A1:F48"/>
  <sheetViews>
    <sheetView workbookViewId="0">
      <selection sqref="A1:F1"/>
    </sheetView>
  </sheetViews>
  <sheetFormatPr defaultRowHeight="14.4" x14ac:dyDescent="0.3"/>
  <cols>
    <col min="1" max="1" width="72.109375" bestFit="1" customWidth="1"/>
    <col min="2" max="2" width="11.6640625" bestFit="1" customWidth="1"/>
    <col min="3" max="3" width="10.44140625" bestFit="1" customWidth="1"/>
    <col min="4" max="4" width="14.77734375" bestFit="1" customWidth="1"/>
    <col min="5" max="5" width="11.109375" bestFit="1" customWidth="1"/>
    <col min="6" max="6" width="11.6640625" bestFit="1" customWidth="1"/>
  </cols>
  <sheetData>
    <row r="1" spans="1:6" ht="30" customHeight="1" x14ac:dyDescent="0.4">
      <c r="A1" s="169" t="s">
        <v>679</v>
      </c>
      <c r="B1" s="170"/>
      <c r="C1" s="170"/>
      <c r="D1" s="170"/>
      <c r="E1" s="170"/>
      <c r="F1" s="170"/>
    </row>
    <row r="2" spans="1:6" x14ac:dyDescent="0.3">
      <c r="A2" s="158" t="s">
        <v>565</v>
      </c>
      <c r="B2" s="153"/>
      <c r="C2" s="153"/>
      <c r="D2" s="153"/>
      <c r="E2" s="153"/>
      <c r="F2" s="153"/>
    </row>
    <row r="4" spans="1:6" ht="15.6" x14ac:dyDescent="0.3">
      <c r="A4" s="49" t="s">
        <v>680</v>
      </c>
    </row>
    <row r="6" spans="1:6" x14ac:dyDescent="0.3">
      <c r="A6" s="71" t="s">
        <v>89</v>
      </c>
      <c r="B6" s="71" t="s">
        <v>99</v>
      </c>
      <c r="C6" s="71" t="s">
        <v>96</v>
      </c>
      <c r="D6" s="71" t="s">
        <v>93</v>
      </c>
      <c r="E6" s="71" t="s">
        <v>95</v>
      </c>
      <c r="F6" s="71" t="s">
        <v>681</v>
      </c>
    </row>
    <row r="7" spans="1:6" x14ac:dyDescent="0.3">
      <c r="A7" s="113" t="s">
        <v>97</v>
      </c>
      <c r="B7" s="142">
        <f>SUMIFS(Sales_Data!D:D,Sales_Data!B:B,$A7,Sales_Data!C:C,B$6)</f>
        <v>604036</v>
      </c>
      <c r="C7" s="142">
        <f>SUMIFS(Sales_Data!D:D,Sales_Data!B:B,$A7,Sales_Data!C:C,C$6)</f>
        <v>876421</v>
      </c>
      <c r="D7" s="142">
        <f>SUMIFS(Sales_Data!D:D,Sales_Data!B:B,$A7,Sales_Data!C:C,D$6)</f>
        <v>584672</v>
      </c>
      <c r="E7" s="142">
        <f>SUMIFS(Sales_Data!D:D,Sales_Data!B:B,$A7,Sales_Data!C:C,E$6)</f>
        <v>935015</v>
      </c>
      <c r="F7" s="142">
        <f>SUM(B7:E7)</f>
        <v>3000144</v>
      </c>
    </row>
    <row r="8" spans="1:6" x14ac:dyDescent="0.3">
      <c r="A8" s="6" t="s">
        <v>92</v>
      </c>
      <c r="B8" s="137">
        <f>SUMIFS(Sales_Data!D:D,Sales_Data!B:B,$A8,Sales_Data!C:C,B$6)</f>
        <v>491115</v>
      </c>
      <c r="C8" s="137">
        <f>SUMIFS(Sales_Data!D:D,Sales_Data!B:B,$A8,Sales_Data!C:C,C$6)</f>
        <v>582698</v>
      </c>
      <c r="D8" s="137">
        <f>SUMIFS(Sales_Data!D:D,Sales_Data!B:B,$A8,Sales_Data!C:C,D$6)</f>
        <v>695522</v>
      </c>
      <c r="E8" s="137">
        <f>SUMIFS(Sales_Data!D:D,Sales_Data!B:B,$A8,Sales_Data!C:C,E$6)</f>
        <v>978748</v>
      </c>
      <c r="F8" s="137">
        <f>SUM(B8:E8)</f>
        <v>2748083</v>
      </c>
    </row>
    <row r="9" spans="1:6" x14ac:dyDescent="0.3">
      <c r="A9" s="113" t="s">
        <v>98</v>
      </c>
      <c r="B9" s="142">
        <f>SUMIFS(Sales_Data!D:D,Sales_Data!B:B,$A9,Sales_Data!C:C,B$6)</f>
        <v>920120</v>
      </c>
      <c r="C9" s="142">
        <f>SUMIFS(Sales_Data!D:D,Sales_Data!B:B,$A9,Sales_Data!C:C,C$6)</f>
        <v>439632</v>
      </c>
      <c r="D9" s="142">
        <f>SUMIFS(Sales_Data!D:D,Sales_Data!B:B,$A9,Sales_Data!C:C,D$6)</f>
        <v>534267</v>
      </c>
      <c r="E9" s="142">
        <f>SUMIFS(Sales_Data!D:D,Sales_Data!B:B,$A9,Sales_Data!C:C,E$6)</f>
        <v>570124</v>
      </c>
      <c r="F9" s="142">
        <f>SUM(B9:E9)</f>
        <v>2464143</v>
      </c>
    </row>
    <row r="10" spans="1:6" x14ac:dyDescent="0.3">
      <c r="A10" s="6" t="s">
        <v>94</v>
      </c>
      <c r="B10" s="137">
        <f>SUMIFS(Sales_Data!D:D,Sales_Data!B:B,$A10,Sales_Data!C:C,B$6)</f>
        <v>939581</v>
      </c>
      <c r="C10" s="137">
        <f>SUMIFS(Sales_Data!D:D,Sales_Data!B:B,$A10,Sales_Data!C:C,C$6)</f>
        <v>1020822</v>
      </c>
      <c r="D10" s="137">
        <f>SUMIFS(Sales_Data!D:D,Sales_Data!B:B,$A10,Sales_Data!C:C,D$6)</f>
        <v>852957</v>
      </c>
      <c r="E10" s="137">
        <f>SUMIFS(Sales_Data!D:D,Sales_Data!B:B,$A10,Sales_Data!C:C,E$6)</f>
        <v>794100</v>
      </c>
      <c r="F10" s="137">
        <f>SUM(B10:E10)</f>
        <v>3607460</v>
      </c>
    </row>
    <row r="11" spans="1:6" x14ac:dyDescent="0.3">
      <c r="A11" s="38" t="s">
        <v>681</v>
      </c>
      <c r="B11" s="171">
        <f>SUM(B7:B10)</f>
        <v>2954852</v>
      </c>
      <c r="C11" s="171">
        <f>SUM(C7:C10)</f>
        <v>2919573</v>
      </c>
      <c r="D11" s="171">
        <f>SUM(D7:D10)</f>
        <v>2667418</v>
      </c>
      <c r="E11" s="171">
        <f>SUM(E7:E10)</f>
        <v>3277987</v>
      </c>
      <c r="F11" s="171">
        <f>SUM(F7:F10)</f>
        <v>11819830</v>
      </c>
    </row>
    <row r="14" spans="1:6" ht="15.6" x14ac:dyDescent="0.3">
      <c r="A14" s="49" t="s">
        <v>682</v>
      </c>
    </row>
    <row r="16" spans="1:6" x14ac:dyDescent="0.3">
      <c r="A16" s="37" t="s">
        <v>89</v>
      </c>
      <c r="B16" s="37" t="s">
        <v>99</v>
      </c>
      <c r="C16" s="37" t="s">
        <v>96</v>
      </c>
      <c r="D16" s="37" t="s">
        <v>93</v>
      </c>
      <c r="E16" s="37" t="s">
        <v>95</v>
      </c>
      <c r="F16" s="37" t="s">
        <v>681</v>
      </c>
    </row>
    <row r="17" spans="1:6" x14ac:dyDescent="0.3">
      <c r="A17" s="65" t="s">
        <v>97</v>
      </c>
      <c r="B17" s="65">
        <f>COUNTIFS(Sales_Data!B:B,$A17,Sales_Data!C:C,B$16)</f>
        <v>17</v>
      </c>
      <c r="C17" s="65">
        <f>COUNTIFS(Sales_Data!B:B,$A17,Sales_Data!C:C,C$16)</f>
        <v>31</v>
      </c>
      <c r="D17" s="65">
        <f>COUNTIFS(Sales_Data!B:B,$A17,Sales_Data!C:C,D$16)</f>
        <v>21</v>
      </c>
      <c r="E17" s="65">
        <f>COUNTIFS(Sales_Data!B:B,$A17,Sales_Data!C:C,E$16)</f>
        <v>29</v>
      </c>
      <c r="F17" s="65">
        <f>SUM(B17:E17)</f>
        <v>98</v>
      </c>
    </row>
    <row r="18" spans="1:6" x14ac:dyDescent="0.3">
      <c r="A18" s="6" t="s">
        <v>92</v>
      </c>
      <c r="B18" s="6">
        <f>COUNTIFS(Sales_Data!B:B,$A18,Sales_Data!C:C,B$16)</f>
        <v>19</v>
      </c>
      <c r="C18" s="6">
        <f>COUNTIFS(Sales_Data!B:B,$A18,Sales_Data!C:C,C$16)</f>
        <v>24</v>
      </c>
      <c r="D18" s="6">
        <f>COUNTIFS(Sales_Data!B:B,$A18,Sales_Data!C:C,D$16)</f>
        <v>28</v>
      </c>
      <c r="E18" s="6">
        <f>COUNTIFS(Sales_Data!B:B,$A18,Sales_Data!C:C,E$16)</f>
        <v>34</v>
      </c>
      <c r="F18" s="6">
        <f>SUM(B18:E18)</f>
        <v>105</v>
      </c>
    </row>
    <row r="19" spans="1:6" x14ac:dyDescent="0.3">
      <c r="A19" s="65" t="s">
        <v>98</v>
      </c>
      <c r="B19" s="65">
        <f>COUNTIFS(Sales_Data!B:B,$A19,Sales_Data!C:C,B$16)</f>
        <v>28</v>
      </c>
      <c r="C19" s="65">
        <f>COUNTIFS(Sales_Data!B:B,$A19,Sales_Data!C:C,C$16)</f>
        <v>16</v>
      </c>
      <c r="D19" s="65">
        <f>COUNTIFS(Sales_Data!B:B,$A19,Sales_Data!C:C,D$16)</f>
        <v>16</v>
      </c>
      <c r="E19" s="65">
        <f>COUNTIFS(Sales_Data!B:B,$A19,Sales_Data!C:C,E$16)</f>
        <v>21</v>
      </c>
      <c r="F19" s="65">
        <f>SUM(B19:E19)</f>
        <v>81</v>
      </c>
    </row>
    <row r="20" spans="1:6" x14ac:dyDescent="0.3">
      <c r="A20" s="6" t="s">
        <v>94</v>
      </c>
      <c r="B20" s="6">
        <f>COUNTIFS(Sales_Data!B:B,$A20,Sales_Data!C:C,B$16)</f>
        <v>32</v>
      </c>
      <c r="C20" s="6">
        <f>COUNTIFS(Sales_Data!B:B,$A20,Sales_Data!C:C,C$16)</f>
        <v>37</v>
      </c>
      <c r="D20" s="6">
        <f>COUNTIFS(Sales_Data!B:B,$A20,Sales_Data!C:C,D$16)</f>
        <v>24</v>
      </c>
      <c r="E20" s="6">
        <f>COUNTIFS(Sales_Data!B:B,$A20,Sales_Data!C:C,E$16)</f>
        <v>23</v>
      </c>
      <c r="F20" s="6">
        <f>SUM(B20:E20)</f>
        <v>116</v>
      </c>
    </row>
    <row r="21" spans="1:6" x14ac:dyDescent="0.3">
      <c r="A21" s="38" t="s">
        <v>681</v>
      </c>
      <c r="B21" s="38">
        <f>SUM(B17:B20)</f>
        <v>96</v>
      </c>
      <c r="C21" s="38">
        <f>SUM(C17:C20)</f>
        <v>108</v>
      </c>
      <c r="D21" s="38">
        <f>SUM(D17:D20)</f>
        <v>89</v>
      </c>
      <c r="E21" s="38">
        <f>SUM(E17:E20)</f>
        <v>107</v>
      </c>
      <c r="F21" s="38">
        <f>SUM(F17:F20)</f>
        <v>400</v>
      </c>
    </row>
    <row r="24" spans="1:6" ht="15.6" x14ac:dyDescent="0.3">
      <c r="A24" s="49" t="s">
        <v>683</v>
      </c>
    </row>
    <row r="26" spans="1:6" x14ac:dyDescent="0.3">
      <c r="A26" s="172" t="s">
        <v>89</v>
      </c>
      <c r="B26" s="172" t="s">
        <v>99</v>
      </c>
      <c r="C26" s="172" t="s">
        <v>96</v>
      </c>
      <c r="D26" s="172" t="s">
        <v>93</v>
      </c>
      <c r="E26" s="172" t="s">
        <v>95</v>
      </c>
      <c r="F26" s="172" t="s">
        <v>684</v>
      </c>
    </row>
    <row r="27" spans="1:6" x14ac:dyDescent="0.3">
      <c r="A27" s="113" t="s">
        <v>97</v>
      </c>
      <c r="B27" s="114">
        <f>B7/$F$11</f>
        <v>5.1103611473261458E-2</v>
      </c>
      <c r="C27" s="114">
        <f>C7/$F$11</f>
        <v>7.4148359155757737E-2</v>
      </c>
      <c r="D27" s="114">
        <f>D7/$F$11</f>
        <v>4.9465347640363692E-2</v>
      </c>
      <c r="E27" s="114">
        <f>E7/$F$11</f>
        <v>7.9105621654456962E-2</v>
      </c>
      <c r="F27" s="114">
        <f>F7/$F$11</f>
        <v>0.25382293992383986</v>
      </c>
    </row>
    <row r="28" spans="1:6" x14ac:dyDescent="0.3">
      <c r="A28" s="6" t="s">
        <v>92</v>
      </c>
      <c r="B28" s="62">
        <f>B8/$F$11</f>
        <v>4.1550089975913362E-2</v>
      </c>
      <c r="C28" s="62">
        <f>C8/$F$11</f>
        <v>4.9298340162252756E-2</v>
      </c>
      <c r="D28" s="62">
        <f>D8/$F$11</f>
        <v>5.8843655111790946E-2</v>
      </c>
      <c r="E28" s="62">
        <f>E8/$F$11</f>
        <v>8.2805590266526674E-2</v>
      </c>
      <c r="F28" s="62">
        <f>F8/$F$11</f>
        <v>0.23249767551648373</v>
      </c>
    </row>
    <row r="29" spans="1:6" x14ac:dyDescent="0.3">
      <c r="A29" s="113" t="s">
        <v>98</v>
      </c>
      <c r="B29" s="114">
        <f>B9/$F$11</f>
        <v>7.7845451245914701E-2</v>
      </c>
      <c r="C29" s="114">
        <f>C9/$F$11</f>
        <v>3.7194443574907594E-2</v>
      </c>
      <c r="D29" s="114">
        <f>D9/$F$11</f>
        <v>4.5200903904709287E-2</v>
      </c>
      <c r="E29" s="114">
        <f>E9/$F$11</f>
        <v>4.8234534676048643E-2</v>
      </c>
      <c r="F29" s="114">
        <f>F9/$F$11</f>
        <v>0.20847533340158023</v>
      </c>
    </row>
    <row r="30" spans="1:6" x14ac:dyDescent="0.3">
      <c r="A30" s="6" t="s">
        <v>94</v>
      </c>
      <c r="B30" s="62">
        <f>B10/$F$11</f>
        <v>7.9491921626622386E-2</v>
      </c>
      <c r="C30" s="62">
        <f>C10/$F$11</f>
        <v>8.636520152997125E-2</v>
      </c>
      <c r="D30" s="62">
        <f>D10/$F$11</f>
        <v>7.2163220621616384E-2</v>
      </c>
      <c r="E30" s="62">
        <f>E10/$F$11</f>
        <v>6.7183707379886173E-2</v>
      </c>
      <c r="F30" s="62">
        <f>F10/$F$11</f>
        <v>0.30520405115809618</v>
      </c>
    </row>
    <row r="31" spans="1:6" x14ac:dyDescent="0.3">
      <c r="A31" s="38" t="s">
        <v>685</v>
      </c>
      <c r="B31" s="64">
        <f>B11/$F$11</f>
        <v>0.24999107432171191</v>
      </c>
      <c r="C31" s="64">
        <f>C11/$F$11</f>
        <v>0.24700634442288932</v>
      </c>
      <c r="D31" s="64">
        <f>D11/$F$11</f>
        <v>0.22567312727848032</v>
      </c>
      <c r="E31" s="64">
        <f>E11/$F$11</f>
        <v>0.27732945397691844</v>
      </c>
      <c r="F31" s="64">
        <f>F11/$F$11</f>
        <v>1</v>
      </c>
    </row>
    <row r="34" spans="1:2" ht="15.6" x14ac:dyDescent="0.3">
      <c r="A34" s="49" t="s">
        <v>637</v>
      </c>
    </row>
    <row r="36" spans="1:2" x14ac:dyDescent="0.3">
      <c r="A36" s="8" t="s">
        <v>686</v>
      </c>
      <c r="B36" s="126" t="str">
        <f>INDEX(A7:A10,MATCH(MAX(F7:F10),F7:F10,0))</f>
        <v>West</v>
      </c>
    </row>
    <row r="37" spans="1:2" x14ac:dyDescent="0.3">
      <c r="A37" s="8" t="s">
        <v>687</v>
      </c>
      <c r="B37" s="126" t="str">
        <f>INDEX(B6:E6,MATCH(MAX(B11:E11),B11:E11,0))</f>
        <v>Tally Course</v>
      </c>
    </row>
    <row r="38" spans="1:2" x14ac:dyDescent="0.3">
      <c r="A38" s="8" t="s">
        <v>688</v>
      </c>
      <c r="B38" s="173">
        <f>F11</f>
        <v>11819830</v>
      </c>
    </row>
    <row r="39" spans="1:2" x14ac:dyDescent="0.3">
      <c r="A39" s="8" t="s">
        <v>689</v>
      </c>
      <c r="B39" s="126">
        <f>F21</f>
        <v>400</v>
      </c>
    </row>
    <row r="40" spans="1:2" x14ac:dyDescent="0.3">
      <c r="A40" s="8" t="s">
        <v>690</v>
      </c>
      <c r="B40" s="173">
        <f>F11/F21</f>
        <v>29549.575000000001</v>
      </c>
    </row>
    <row r="41" spans="1:2" x14ac:dyDescent="0.3">
      <c r="A41" s="8" t="s">
        <v>691</v>
      </c>
      <c r="B41" s="173">
        <f>MAX(B7:E10)</f>
        <v>1020822</v>
      </c>
    </row>
    <row r="44" spans="1:2" x14ac:dyDescent="0.3">
      <c r="A44" s="8" t="s">
        <v>524</v>
      </c>
    </row>
    <row r="45" spans="1:2" x14ac:dyDescent="0.3">
      <c r="A45" s="8" t="s">
        <v>692</v>
      </c>
    </row>
    <row r="46" spans="1:2" x14ac:dyDescent="0.3">
      <c r="A46" s="8" t="s">
        <v>693</v>
      </c>
    </row>
    <row r="47" spans="1:2" x14ac:dyDescent="0.3">
      <c r="A47" s="8" t="s">
        <v>694</v>
      </c>
    </row>
    <row r="48" spans="1:2" x14ac:dyDescent="0.3">
      <c r="A48" s="8" t="s">
        <v>695</v>
      </c>
    </row>
  </sheetData>
  <mergeCells count="2">
    <mergeCell ref="A1:F1"/>
    <mergeCell ref="A2:F2"/>
  </mergeCells>
  <conditionalFormatting sqref="B7:E10">
    <cfRule type="colorScale" priority="1">
      <colorScale>
        <cfvo type="min"/>
        <cfvo type="percentile" val="50"/>
        <cfvo type="max"/>
        <color rgb="FFF8696B"/>
        <color rgb="FFFFEB84"/>
        <color rgb="FF63BE7B"/>
      </colorScale>
    </cfRule>
  </conditionalFormatting>
  <conditionalFormatting sqref="B17:E20">
    <cfRule type="colorScale" priority="2">
      <colorScale>
        <cfvo type="min"/>
        <cfvo type="percentile" val="50"/>
        <cfvo type="max"/>
        <color rgb="FFF8696B"/>
        <color rgb="FFFFEB84"/>
        <color rgb="FF63BE7B"/>
      </colorScale>
    </cfRule>
  </conditionalFormatting>
  <conditionalFormatting sqref="F7:F10">
    <cfRule type="dataBar" priority="3">
      <dataBar>
        <cfvo type="min"/>
        <cfvo type="max"/>
        <color rgb="FF5B9BD5"/>
      </dataBar>
      <extLst>
        <ext xmlns:x14="http://schemas.microsoft.com/office/spreadsheetml/2009/9/main" uri="{B025F937-C7B1-47D3-B67F-A62EFF666E3E}">
          <x14:id>{674C6BD7-058B-43B9-B916-37592EDE84D8}</x14:id>
        </ext>
      </extLst>
    </cfRule>
  </conditionalFormatting>
  <conditionalFormatting sqref="B11:E11">
    <cfRule type="dataBar" priority="4">
      <dataBar>
        <cfvo type="min"/>
        <cfvo type="max"/>
        <color rgb="FF70AD47"/>
      </dataBar>
      <extLst>
        <ext xmlns:x14="http://schemas.microsoft.com/office/spreadsheetml/2009/9/main" uri="{B025F937-C7B1-47D3-B67F-A62EFF666E3E}">
          <x14:id>{D20930FC-DB53-40B7-8726-BDF7947D79B9}</x14:id>
        </ext>
      </extLst>
    </cfRule>
  </conditionalFormatting>
  <conditionalFormatting sqref="B27:E30">
    <cfRule type="colorScale" priority="5">
      <colorScale>
        <cfvo type="min"/>
        <cfvo type="percentile" val="50"/>
        <cfvo type="max"/>
        <color rgb="FFF8696B"/>
        <color rgb="FFFFEB84"/>
        <color rgb="FF63BE7B"/>
      </colorScale>
    </cfRule>
  </conditionalFormatting>
  <conditionalFormatting sqref="F27:F30">
    <cfRule type="dataBar" priority="6">
      <dataBar>
        <cfvo type="min"/>
        <cfvo type="max"/>
        <color rgb="FFA9D18E"/>
      </dataBar>
      <extLst>
        <ext xmlns:x14="http://schemas.microsoft.com/office/spreadsheetml/2009/9/main" uri="{B025F937-C7B1-47D3-B67F-A62EFF666E3E}">
          <x14:id>{3E13C5CB-38CF-46A1-A3DB-63A946DD7147}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74C6BD7-058B-43B9-B916-37592EDE84D8}">
            <x14:dataBar minLength="0" maxLength="100" border="1" direction="leftToRight" negativeBarColorSameAsPositive="1" axisPosition="none">
              <x14:cfvo type="min"/>
              <x14:cfvo type="max"/>
              <x14:borderColor rgb="FF2E75B6"/>
            </x14:dataBar>
          </x14:cfRule>
          <xm:sqref>F7:F10</xm:sqref>
        </x14:conditionalFormatting>
        <x14:conditionalFormatting xmlns:xm="http://schemas.microsoft.com/office/excel/2006/main">
          <x14:cfRule type="dataBar" id="{D20930FC-DB53-40B7-8726-BDF7947D79B9}">
            <x14:dataBar minLength="0" maxLength="100" border="1" direction="leftToRight" negativeBarColorSameAsPositive="1" axisPosition="none">
              <x14:cfvo type="min"/>
              <x14:cfvo type="max"/>
              <x14:borderColor rgb="FF538135"/>
            </x14:dataBar>
          </x14:cfRule>
          <xm:sqref>B11:E11</xm:sqref>
        </x14:conditionalFormatting>
        <x14:conditionalFormatting xmlns:xm="http://schemas.microsoft.com/office/excel/2006/main">
          <x14:cfRule type="dataBar" id="{3E13C5CB-38CF-46A1-A3DB-63A946DD7147}">
            <x14:dataBar minLength="0" maxLength="100" border="1" direction="leftToRight" negativeBarColorSameAsPositive="1" axisPosition="none">
              <x14:cfvo type="min"/>
              <x14:cfvo type="max"/>
              <x14:borderColor rgb="FF538135"/>
            </x14:dataBar>
          </x14:cfRule>
          <xm:sqref>F27:F30</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5A6F5-F937-4EFB-B75A-CFE707B34B02}">
  <sheetPr>
    <tabColor theme="5" tint="0.79998168889431442"/>
  </sheetPr>
  <dimension ref="A1:E36"/>
  <sheetViews>
    <sheetView workbookViewId="0">
      <selection sqref="A1:E1"/>
    </sheetView>
  </sheetViews>
  <sheetFormatPr defaultRowHeight="14.4" x14ac:dyDescent="0.3"/>
  <cols>
    <col min="1" max="1" width="31.44140625" customWidth="1"/>
    <col min="2" max="2" width="22.21875" customWidth="1"/>
    <col min="3" max="3" width="18.5546875" customWidth="1"/>
    <col min="4" max="4" width="25.88671875" customWidth="1"/>
    <col min="5" max="5" width="22.21875" customWidth="1"/>
  </cols>
  <sheetData>
    <row r="1" spans="1:5" ht="34.950000000000003" customHeight="1" x14ac:dyDescent="0.45">
      <c r="A1" s="165" t="s">
        <v>696</v>
      </c>
      <c r="B1" s="153"/>
      <c r="C1" s="153"/>
      <c r="D1" s="153"/>
      <c r="E1" s="153"/>
    </row>
    <row r="2" spans="1:5" x14ac:dyDescent="0.3">
      <c r="A2" s="174" t="s">
        <v>697</v>
      </c>
      <c r="B2" s="153"/>
      <c r="C2" s="153"/>
      <c r="D2" s="153"/>
      <c r="E2" s="153"/>
    </row>
    <row r="4" spans="1:5" ht="18" x14ac:dyDescent="0.35">
      <c r="A4" s="166" t="s">
        <v>698</v>
      </c>
      <c r="B4" s="153"/>
      <c r="C4" s="153"/>
      <c r="D4" s="153"/>
      <c r="E4" s="153"/>
    </row>
    <row r="6" spans="1:5" x14ac:dyDescent="0.3">
      <c r="A6" s="37" t="s">
        <v>89</v>
      </c>
      <c r="B6" s="37" t="s">
        <v>662</v>
      </c>
      <c r="C6" s="37" t="s">
        <v>668</v>
      </c>
      <c r="D6" s="37" t="s">
        <v>575</v>
      </c>
    </row>
    <row r="7" spans="1:5" x14ac:dyDescent="0.3">
      <c r="A7" s="6" t="s">
        <v>97</v>
      </c>
      <c r="B7" s="137">
        <f>SUMIF(Sales_Data!B:B,"East",Sales_Data!D:D)</f>
        <v>3000144</v>
      </c>
      <c r="C7" s="6">
        <f>COUNTIF(Sales_Data!B:B,"East")</f>
        <v>98</v>
      </c>
      <c r="D7" s="62">
        <f>B7/B$11</f>
        <v>0.25382293992383986</v>
      </c>
    </row>
    <row r="8" spans="1:5" x14ac:dyDescent="0.3">
      <c r="A8" s="6" t="s">
        <v>92</v>
      </c>
      <c r="B8" s="137">
        <f>SUMIF(Sales_Data!B:B,"North",Sales_Data!D:D)</f>
        <v>2748083</v>
      </c>
      <c r="C8" s="6">
        <f>COUNTIF(Sales_Data!B:B,"North")</f>
        <v>105</v>
      </c>
      <c r="D8" s="62">
        <f>B8/B$11</f>
        <v>0.23249767551648373</v>
      </c>
    </row>
    <row r="9" spans="1:5" x14ac:dyDescent="0.3">
      <c r="A9" s="6" t="s">
        <v>98</v>
      </c>
      <c r="B9" s="137">
        <f>SUMIF(Sales_Data!B:B,"South",Sales_Data!D:D)</f>
        <v>2464143</v>
      </c>
      <c r="C9" s="6">
        <f>COUNTIF(Sales_Data!B:B,"South")</f>
        <v>81</v>
      </c>
      <c r="D9" s="62">
        <f>B9/B$11</f>
        <v>0.20847533340158023</v>
      </c>
    </row>
    <row r="10" spans="1:5" x14ac:dyDescent="0.3">
      <c r="A10" s="6" t="s">
        <v>94</v>
      </c>
      <c r="B10" s="137">
        <f>SUMIF(Sales_Data!B:B,"West",Sales_Data!D:D)</f>
        <v>3607460</v>
      </c>
      <c r="C10" s="6">
        <f>COUNTIF(Sales_Data!B:B,"West")</f>
        <v>116</v>
      </c>
      <c r="D10" s="62">
        <f>B10/B$11</f>
        <v>0.30520405115809618</v>
      </c>
    </row>
    <row r="11" spans="1:5" x14ac:dyDescent="0.3">
      <c r="A11" s="85" t="s">
        <v>598</v>
      </c>
      <c r="B11" s="176">
        <f>SUM(B7:B10)</f>
        <v>11819830</v>
      </c>
      <c r="C11" s="85">
        <f>SUM(C7:C10)</f>
        <v>400</v>
      </c>
      <c r="D11" s="87">
        <f>SUM(D7:D10)</f>
        <v>1</v>
      </c>
    </row>
    <row r="13" spans="1:5" ht="18" x14ac:dyDescent="0.35">
      <c r="A13" s="175" t="s">
        <v>699</v>
      </c>
      <c r="B13" s="153"/>
      <c r="C13" s="153"/>
      <c r="D13" s="153"/>
      <c r="E13" s="153"/>
    </row>
    <row r="15" spans="1:5" x14ac:dyDescent="0.3">
      <c r="A15" s="141" t="s">
        <v>90</v>
      </c>
      <c r="B15" s="141" t="s">
        <v>662</v>
      </c>
      <c r="C15" s="141" t="s">
        <v>668</v>
      </c>
      <c r="D15" s="141" t="s">
        <v>575</v>
      </c>
    </row>
    <row r="16" spans="1:5" x14ac:dyDescent="0.3">
      <c r="A16" s="6" t="s">
        <v>99</v>
      </c>
      <c r="B16" s="137">
        <f>SUMIF(Sales_Data!C:C,"Excel Course",Sales_Data!D:D)</f>
        <v>2954852</v>
      </c>
      <c r="C16" s="6">
        <f>COUNTIF(Sales_Data!C:C,"Excel Course")</f>
        <v>96</v>
      </c>
      <c r="D16" s="62">
        <f>B16/B$20</f>
        <v>0.24999107432171191</v>
      </c>
    </row>
    <row r="17" spans="1:5" x14ac:dyDescent="0.3">
      <c r="A17" s="6" t="s">
        <v>96</v>
      </c>
      <c r="B17" s="137">
        <f>SUMIF(Sales_Data!C:C,"GST Course",Sales_Data!D:D)</f>
        <v>2919573</v>
      </c>
      <c r="C17" s="6">
        <f>COUNTIF(Sales_Data!C:C,"GST Course")</f>
        <v>108</v>
      </c>
      <c r="D17" s="62">
        <f>B17/B$20</f>
        <v>0.24700634442288932</v>
      </c>
    </row>
    <row r="18" spans="1:5" x14ac:dyDescent="0.3">
      <c r="A18" s="6" t="s">
        <v>93</v>
      </c>
      <c r="B18" s="137">
        <f>SUMIF(Sales_Data!C:C,"Power BI Course",Sales_Data!D:D)</f>
        <v>2667418</v>
      </c>
      <c r="C18" s="6">
        <f>COUNTIF(Sales_Data!C:C,"Power BI Course")</f>
        <v>89</v>
      </c>
      <c r="D18" s="62">
        <f>B18/B$20</f>
        <v>0.22567312727848032</v>
      </c>
    </row>
    <row r="19" spans="1:5" x14ac:dyDescent="0.3">
      <c r="A19" s="6" t="s">
        <v>95</v>
      </c>
      <c r="B19" s="137">
        <f>SUMIF(Sales_Data!C:C,"Tally Course",Sales_Data!D:D)</f>
        <v>3277987</v>
      </c>
      <c r="C19" s="6">
        <f>COUNTIF(Sales_Data!C:C,"Tally Course")</f>
        <v>107</v>
      </c>
      <c r="D19" s="62">
        <f>B19/B$20</f>
        <v>0.27732945397691844</v>
      </c>
    </row>
    <row r="20" spans="1:5" x14ac:dyDescent="0.3">
      <c r="A20" s="177" t="s">
        <v>598</v>
      </c>
      <c r="B20" s="178">
        <f>SUM(B16:B19)</f>
        <v>11819830</v>
      </c>
      <c r="C20" s="177">
        <f>SUM(C16:C19)</f>
        <v>400</v>
      </c>
      <c r="D20" s="179">
        <f>SUM(D16:D19)</f>
        <v>1</v>
      </c>
    </row>
    <row r="22" spans="1:5" ht="30" customHeight="1" x14ac:dyDescent="0.4">
      <c r="A22" s="180" t="s">
        <v>700</v>
      </c>
      <c r="B22" s="153"/>
      <c r="C22" s="153"/>
      <c r="D22" s="153"/>
      <c r="E22" s="153"/>
    </row>
    <row r="23" spans="1:5" ht="15" thickBot="1" x14ac:dyDescent="0.35"/>
    <row r="24" spans="1:5" ht="15.6" x14ac:dyDescent="0.3">
      <c r="A24" s="182" t="s">
        <v>701</v>
      </c>
      <c r="B24" s="186"/>
      <c r="D24" s="191" t="s">
        <v>705</v>
      </c>
      <c r="E24" s="186"/>
    </row>
    <row r="25" spans="1:5" ht="34.950000000000003" customHeight="1" x14ac:dyDescent="0.5">
      <c r="A25" s="183" t="str">
        <f>INDEX(A7:A10,MATCH(MAX(B7:B10),B7:B10,0))</f>
        <v>West</v>
      </c>
      <c r="B25" s="187"/>
      <c r="D25" s="192" t="str">
        <f>INDEX(A16:A19,MATCH(MAX(B16:B19),B16:B19,0))</f>
        <v>Tally Course</v>
      </c>
      <c r="E25" s="187"/>
    </row>
    <row r="26" spans="1:5" ht="15.6" x14ac:dyDescent="0.3">
      <c r="A26" s="184" t="s">
        <v>702</v>
      </c>
      <c r="B26" s="188">
        <f>MAX(B7:B10)</f>
        <v>3607460</v>
      </c>
      <c r="D26" s="184" t="s">
        <v>702</v>
      </c>
      <c r="E26" s="193">
        <f>MAX(B16:B19)</f>
        <v>3277987</v>
      </c>
    </row>
    <row r="27" spans="1:5" x14ac:dyDescent="0.3">
      <c r="A27" s="184" t="s">
        <v>703</v>
      </c>
      <c r="B27" s="189">
        <f>INDEX(C7:C10,MATCH(MAX(B7:B10),B7:B10,0))</f>
        <v>116</v>
      </c>
      <c r="D27" s="184" t="s">
        <v>703</v>
      </c>
      <c r="E27" s="189">
        <f>INDEX(C16:C19,MATCH(MAX(B16:B19),B16:B19,0))</f>
        <v>107</v>
      </c>
    </row>
    <row r="28" spans="1:5" ht="15" thickBot="1" x14ac:dyDescent="0.35">
      <c r="A28" s="185" t="s">
        <v>704</v>
      </c>
      <c r="B28" s="190">
        <f>INDEX(D7:D10,MATCH(MAX(B7:B10),B7:B10,0))</f>
        <v>0.30520405115809618</v>
      </c>
      <c r="D28" s="185" t="s">
        <v>704</v>
      </c>
      <c r="E28" s="194">
        <f>INDEX(D16:D19,MATCH(MAX(B16:B19),B16:B19,0))</f>
        <v>0.27732945397691844</v>
      </c>
    </row>
    <row r="30" spans="1:5" ht="18" x14ac:dyDescent="0.35">
      <c r="A30" s="196" t="s">
        <v>706</v>
      </c>
      <c r="B30" s="195"/>
      <c r="C30" s="195"/>
      <c r="D30" s="195"/>
      <c r="E30" s="195"/>
    </row>
    <row r="32" spans="1:5" x14ac:dyDescent="0.3">
      <c r="A32" s="8" t="s">
        <v>688</v>
      </c>
      <c r="B32" s="181">
        <f>SUM(Sales_Data!D:D)</f>
        <v>11819830</v>
      </c>
    </row>
    <row r="33" spans="1:2" x14ac:dyDescent="0.3">
      <c r="A33" s="8" t="s">
        <v>689</v>
      </c>
      <c r="B33" s="8">
        <f>COUNTA(Sales_Data!D:D)-1</f>
        <v>400</v>
      </c>
    </row>
    <row r="34" spans="1:2" x14ac:dyDescent="0.3">
      <c r="A34" s="8" t="s">
        <v>707</v>
      </c>
      <c r="B34" s="181">
        <f>AVERAGE(Sales_Data!D2:D401)</f>
        <v>29549.575000000001</v>
      </c>
    </row>
    <row r="35" spans="1:2" x14ac:dyDescent="0.3">
      <c r="A35" s="8" t="s">
        <v>708</v>
      </c>
      <c r="B35" s="58" t="str">
        <f>INDEX(A7:A10,MATCH(MIN(B7:B10),B7:B10,0))</f>
        <v>South</v>
      </c>
    </row>
    <row r="36" spans="1:2" x14ac:dyDescent="0.3">
      <c r="A36" s="8" t="s">
        <v>709</v>
      </c>
      <c r="B36" s="58" t="str">
        <f>INDEX(A16:A19,MATCH(MIN(B16:B19),B16:B19,0))</f>
        <v>Power BI Course</v>
      </c>
    </row>
  </sheetData>
  <mergeCells count="10">
    <mergeCell ref="A25:B25"/>
    <mergeCell ref="D24:E24"/>
    <mergeCell ref="D25:E25"/>
    <mergeCell ref="A30:E30"/>
    <mergeCell ref="A1:E1"/>
    <mergeCell ref="A2:E2"/>
    <mergeCell ref="A4:E4"/>
    <mergeCell ref="A13:E13"/>
    <mergeCell ref="A22:E22"/>
    <mergeCell ref="A24:B24"/>
  </mergeCells>
  <conditionalFormatting sqref="B7:B10">
    <cfRule type="colorScale" priority="1">
      <colorScale>
        <cfvo type="min"/>
        <cfvo type="percentile" val="50"/>
        <cfvo type="max"/>
        <color rgb="FFF8696B"/>
        <color rgb="FFFFEB84"/>
        <color rgb="FF63BE7B"/>
      </colorScale>
    </cfRule>
  </conditionalFormatting>
  <conditionalFormatting sqref="B16:B19">
    <cfRule type="colorScale" priority="2">
      <colorScale>
        <cfvo type="min"/>
        <cfvo type="percentile" val="50"/>
        <cfvo type="max"/>
        <color rgb="FFF8696B"/>
        <color rgb="FFFFEB84"/>
        <color rgb="FF63BE7B"/>
      </colorScale>
    </cfRule>
  </conditionalFormatting>
  <conditionalFormatting sqref="C7:C10">
    <cfRule type="dataBar" priority="3">
      <dataBar>
        <cfvo type="min"/>
        <cfvo type="max"/>
        <color rgb="FF2E75B6"/>
      </dataBar>
      <extLst>
        <ext xmlns:x14="http://schemas.microsoft.com/office/spreadsheetml/2009/9/main" uri="{B025F937-C7B1-47D3-B67F-A62EFF666E3E}">
          <x14:id>{13B17408-89A4-441C-B956-0E94B398ED88}</x14:id>
        </ext>
      </extLst>
    </cfRule>
  </conditionalFormatting>
  <conditionalFormatting sqref="C16:C19">
    <cfRule type="dataBar" priority="4">
      <dataBar>
        <cfvo type="min"/>
        <cfvo type="max"/>
        <color rgb="FF548235"/>
      </dataBar>
      <extLst>
        <ext xmlns:x14="http://schemas.microsoft.com/office/spreadsheetml/2009/9/main" uri="{B025F937-C7B1-47D3-B67F-A62EFF666E3E}">
          <x14:id>{2D67BE1E-F9E5-46EA-AEDB-445237412471}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3B17408-89A4-441C-B956-0E94B398ED88}">
            <x14:dataBar minLength="0" maxLength="100" border="1" direction="leftToRight" negativeBarColorSameAsPositive="1" axisPosition="none">
              <x14:cfvo type="min"/>
              <x14:cfvo type="max"/>
              <x14:borderColor rgb="FF2E75B6"/>
            </x14:dataBar>
          </x14:cfRule>
          <xm:sqref>C7:C10</xm:sqref>
        </x14:conditionalFormatting>
        <x14:conditionalFormatting xmlns:xm="http://schemas.microsoft.com/office/excel/2006/main">
          <x14:cfRule type="dataBar" id="{2D67BE1E-F9E5-46EA-AEDB-445237412471}">
            <x14:dataBar minLength="0" maxLength="100" border="1" direction="leftToRight" negativeBarColorSameAsPositive="1" axisPosition="none">
              <x14:cfvo type="min"/>
              <x14:cfvo type="max"/>
              <x14:borderColor rgb="FF548235"/>
            </x14:dataBar>
          </x14:cfRule>
          <xm:sqref>C16:C19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Introduction</vt:lpstr>
      <vt:lpstr>Index</vt:lpstr>
      <vt:lpstr>Formula</vt:lpstr>
      <vt:lpstr>Email_Data</vt:lpstr>
      <vt:lpstr>Raw_Messy_Data</vt:lpstr>
      <vt:lpstr>Payroll_Data</vt:lpstr>
      <vt:lpstr>Payroll_Summary</vt:lpstr>
      <vt:lpstr>Bank_Books</vt:lpstr>
      <vt:lpstr>Bank_Statement</vt:lpstr>
      <vt:lpstr>Bank_Reconciliation</vt:lpstr>
      <vt:lpstr>Missing_Entries_Report</vt:lpstr>
      <vt:lpstr>Expenses</vt:lpstr>
      <vt:lpstr>Expense_Summary</vt:lpstr>
      <vt:lpstr>Monthly_Expense_Report</vt:lpstr>
      <vt:lpstr>Inventory</vt:lpstr>
      <vt:lpstr>Inventory_Summary</vt:lpstr>
      <vt:lpstr>Client_Followup</vt:lpstr>
      <vt:lpstr>Client_Status_Summary</vt:lpstr>
      <vt:lpstr>Budget_vs_Actual</vt:lpstr>
      <vt:lpstr>Budget_Variance_Report</vt:lpstr>
      <vt:lpstr>Sales_Data</vt:lpstr>
      <vt:lpstr>Prompts</vt:lpstr>
      <vt:lpstr>Sales_Dashboard</vt:lpstr>
      <vt:lpstr>Sales_Pivot_Summary</vt:lpstr>
      <vt:lpstr>Top_Performance_Summary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contact@totsoltechnologies.onmicrosoft.com</dc:creator>
  <cp:lastModifiedBy>Arnab Chakraborty</cp:lastModifiedBy>
  <dcterms:created xsi:type="dcterms:W3CDTF">2026-03-16T07:53:14Z</dcterms:created>
  <dcterms:modified xsi:type="dcterms:W3CDTF">2026-03-29T07:39:07Z</dcterms:modified>
</cp:coreProperties>
</file>