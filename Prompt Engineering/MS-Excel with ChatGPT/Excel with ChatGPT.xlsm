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9568C775-1E33-4E71-A16B-6D4A13C8F781}" xr6:coauthVersionLast="47" xr6:coauthVersionMax="47" xr10:uidLastSave="{00000000-0000-0000-0000-000000000000}"/>
  <bookViews>
    <workbookView xWindow="-108" yWindow="-108" windowWidth="23256" windowHeight="12576" tabRatio="851" xr2:uid="{4FBA5D78-95AE-467C-9F6F-83DD33C9AAD8}"/>
  </bookViews>
  <sheets>
    <sheet name="Sheet1" sheetId="1" r:id="rId1"/>
    <sheet name="Sheet9" sheetId="10" r:id="rId2"/>
    <sheet name="Sheet8" sheetId="9" r:id="rId3"/>
    <sheet name="Sheet2" sheetId="2" r:id="rId4"/>
    <sheet name="Sheet3" sheetId="3" r:id="rId5"/>
    <sheet name="Sheet4" sheetId="4" r:id="rId6"/>
    <sheet name="Sheet5" sheetId="6" r:id="rId7"/>
    <sheet name="Sheet6" sheetId="7" r:id="rId8"/>
    <sheet name="Sheet7" sheetId="8" r:id="rId9"/>
    <sheet name="Sheet11" sheetId="12" r:id="rId10"/>
    <sheet name="ChatGPT Add-ins" sheetId="11" r:id="rId11"/>
    <sheet name="AI.ASK" sheetId="13" r:id="rId12"/>
    <sheet name="AI.TABLE" sheetId="14" r:id="rId13"/>
    <sheet name="AI.TRANSLATE" sheetId="15" r:id="rId14"/>
    <sheet name="AI.EXTRACT" sheetId="16" r:id="rId15"/>
    <sheet name="AI.FORMAT" sheetId="17" r:id="rId16"/>
    <sheet name="AI.FILL" sheetId="18" r:id="rId17"/>
    <sheet name="AI.LIST" sheetId="19" r:id="rId18"/>
    <sheet name="AI.CHOICE" sheetId="20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3" l="1" a="1"/>
  <c r="B12" i="13" s="1"/>
  <c r="E9" i="20" a="1"/>
  <c r="E9" i="20" s="1"/>
  <c r="E10" i="20" a="1"/>
  <c r="E10" i="20" s="1"/>
  <c r="E11" i="20" a="1"/>
  <c r="E11" i="20" s="1"/>
  <c r="E12" i="20" a="1"/>
  <c r="E12" i="20" s="1"/>
  <c r="E13" i="20" a="1"/>
  <c r="E13" i="20" s="1"/>
  <c r="E14" i="20" a="1"/>
  <c r="E14" i="20" s="1"/>
  <c r="E15" i="20" a="1"/>
  <c r="E15" i="20" s="1"/>
  <c r="E16" i="20" a="1"/>
  <c r="E16" i="20" s="1"/>
  <c r="E24" i="20" a="1"/>
  <c r="E24" i="20" s="1"/>
  <c r="E28" i="20" a="1"/>
  <c r="E28" i="20" s="1"/>
  <c r="B8" i="19" a="1"/>
  <c r="B8" i="19" s="1"/>
  <c r="B9" i="18" a="1"/>
  <c r="B9" i="18" s="1"/>
  <c r="B23" i="18" a="1"/>
  <c r="B23" i="18" s="1"/>
  <c r="B20" i="17" a="1"/>
  <c r="B20" i="17" s="1"/>
  <c r="E20" i="17" a="1"/>
  <c r="E20" i="17" s="1"/>
  <c r="C8" i="16" a="1"/>
  <c r="C8" i="16" s="1"/>
  <c r="C13" i="16" a="1"/>
  <c r="C13" i="16" s="1"/>
  <c r="C7" i="15" a="1"/>
  <c r="C7" i="15" s="1"/>
  <c r="C11" i="15" a="1"/>
  <c r="C11" i="15" s="1"/>
  <c r="C21" i="15" a="1"/>
  <c r="C21" i="15" s="1"/>
  <c r="B35" i="15" a="1"/>
  <c r="B35" i="15" s="1"/>
  <c r="A8" i="14" a="1"/>
  <c r="A8" i="14" s="1"/>
  <c r="A25" i="14" a="1"/>
  <c r="A25" i="14" s="1"/>
  <c r="A41" i="14" a="1"/>
  <c r="A41" i="14" s="1"/>
  <c r="C8" i="13" a="1"/>
  <c r="C8" i="13" s="1"/>
  <c r="D8" i="13" a="1"/>
  <c r="D8" i="13" s="1"/>
  <c r="F7" i="12"/>
  <c r="F8" i="12"/>
  <c r="F9" i="12"/>
  <c r="F6" i="12"/>
  <c r="E6" i="12" a="1"/>
  <c r="E6" i="12" s="1"/>
  <c r="F3" i="12"/>
  <c r="F2" i="12"/>
  <c r="B10" i="11" a="1"/>
  <c r="B10" i="11" s="1"/>
  <c r="B8" i="11" a="1"/>
  <c r="B8" i="11" s="1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" i="10"/>
  <c r="G2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" i="10"/>
  <c r="F2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" i="10"/>
  <c r="E2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" i="10"/>
  <c r="Q4" i="9"/>
  <c r="K5" i="2"/>
  <c r="K4" i="2"/>
  <c r="K3" i="2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" i="3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" i="2" a="1"/>
  <c r="B2" i="2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" i="1"/>
  <c r="N3" i="1"/>
  <c r="O3" i="1"/>
  <c r="P3" i="1"/>
  <c r="Q3" i="1"/>
  <c r="R3" i="1"/>
  <c r="S3" i="1"/>
  <c r="N4" i="1"/>
  <c r="O4" i="1"/>
  <c r="P4" i="1"/>
  <c r="Q4" i="1"/>
  <c r="R4" i="1"/>
  <c r="S4" i="1"/>
  <c r="N5" i="1"/>
  <c r="O5" i="1"/>
  <c r="P5" i="1"/>
  <c r="Q5" i="1"/>
  <c r="R5" i="1"/>
  <c r="S5" i="1"/>
  <c r="N6" i="1"/>
  <c r="O6" i="1"/>
  <c r="P6" i="1"/>
  <c r="Q6" i="1"/>
  <c r="R6" i="1"/>
  <c r="S6" i="1"/>
  <c r="N7" i="1"/>
  <c r="O7" i="1"/>
  <c r="P7" i="1"/>
  <c r="Q7" i="1"/>
  <c r="R7" i="1"/>
  <c r="S7" i="1"/>
  <c r="N8" i="1"/>
  <c r="O8" i="1"/>
  <c r="P8" i="1"/>
  <c r="Q8" i="1"/>
  <c r="R8" i="1"/>
  <c r="S8" i="1"/>
  <c r="N9" i="1"/>
  <c r="O9" i="1"/>
  <c r="P9" i="1"/>
  <c r="Q9" i="1"/>
  <c r="R9" i="1"/>
  <c r="S9" i="1"/>
  <c r="N10" i="1"/>
  <c r="O10" i="1"/>
  <c r="P10" i="1"/>
  <c r="Q10" i="1"/>
  <c r="R10" i="1"/>
  <c r="S10" i="1"/>
  <c r="N11" i="1"/>
  <c r="O11" i="1"/>
  <c r="P11" i="1"/>
  <c r="Q11" i="1"/>
  <c r="R11" i="1"/>
  <c r="S11" i="1"/>
  <c r="N12" i="1"/>
  <c r="O12" i="1"/>
  <c r="P12" i="1"/>
  <c r="Q12" i="1"/>
  <c r="R12" i="1"/>
  <c r="S12" i="1"/>
  <c r="N13" i="1"/>
  <c r="O13" i="1"/>
  <c r="P13" i="1"/>
  <c r="Q13" i="1"/>
  <c r="R13" i="1"/>
  <c r="S13" i="1"/>
  <c r="N14" i="1"/>
  <c r="O14" i="1"/>
  <c r="P14" i="1"/>
  <c r="Q14" i="1"/>
  <c r="R14" i="1"/>
  <c r="S14" i="1"/>
  <c r="N15" i="1"/>
  <c r="O15" i="1"/>
  <c r="P15" i="1"/>
  <c r="Q15" i="1"/>
  <c r="R15" i="1"/>
  <c r="S15" i="1"/>
  <c r="N16" i="1"/>
  <c r="O16" i="1"/>
  <c r="P16" i="1"/>
  <c r="Q16" i="1"/>
  <c r="R16" i="1"/>
  <c r="S16" i="1"/>
  <c r="N17" i="1"/>
  <c r="O17" i="1"/>
  <c r="P17" i="1"/>
  <c r="Q17" i="1"/>
  <c r="R17" i="1"/>
  <c r="S17" i="1"/>
  <c r="N18" i="1"/>
  <c r="O18" i="1"/>
  <c r="P18" i="1"/>
  <c r="Q18" i="1"/>
  <c r="R18" i="1"/>
  <c r="S18" i="1"/>
  <c r="N19" i="1"/>
  <c r="O19" i="1"/>
  <c r="P19" i="1"/>
  <c r="Q19" i="1"/>
  <c r="R19" i="1"/>
  <c r="S19" i="1"/>
  <c r="N20" i="1"/>
  <c r="O20" i="1"/>
  <c r="P20" i="1"/>
  <c r="Q20" i="1"/>
  <c r="R20" i="1"/>
  <c r="S20" i="1"/>
  <c r="N21" i="1"/>
  <c r="O21" i="1"/>
  <c r="P21" i="1"/>
  <c r="Q21" i="1"/>
  <c r="R21" i="1"/>
  <c r="S21" i="1"/>
  <c r="R2" i="1"/>
  <c r="S2" i="1"/>
  <c r="Q2" i="1"/>
  <c r="P2" i="1"/>
  <c r="O2" i="1"/>
  <c r="N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Support Apps Do Wonders</author>
  </authors>
  <commentList>
    <comment ref="C19" authorId="0" shapeId="0" xr:uid="{72B5A77A-000E-46FA-BB74-3C6E872B5C29}">
      <text>
        <r>
          <rPr>
            <sz val="12"/>
            <color theme="1"/>
            <rFont val="Aptos Narrow"/>
            <family val="2"/>
            <scheme val="minor"/>
          </rPr>
          <t>Use standard Excel number format functionality</t>
        </r>
      </text>
    </comment>
    <comment ref="D19" authorId="0" shapeId="0" xr:uid="{8882F2E2-A04B-4EE4-A97F-728FD1B4ED52}">
      <text>
        <r>
          <rPr>
            <sz val="12"/>
            <color theme="1"/>
            <rFont val="Aptos Narrow"/>
            <family val="2"/>
            <scheme val="minor"/>
          </rPr>
          <t>Use standard Excel number format functionality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<sst xmlns="http://schemas.openxmlformats.org/spreadsheetml/2006/main" count="764" uniqueCount="519">
  <si>
    <t>Item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</si>
  <si>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</si>
  <si>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</si>
  <si>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</si>
  <si>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</si>
  <si>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</si>
  <si>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</si>
  <si>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</si>
  <si>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</si>
  <si>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</si>
  <si>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</si>
  <si>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</si>
  <si>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</si>
  <si>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Shampoo</t>
  </si>
  <si>
    <t>Soap</t>
  </si>
  <si>
    <t>Toothpaste</t>
  </si>
  <si>
    <t>Detergent</t>
  </si>
  <si>
    <t>Hand Wash</t>
  </si>
  <si>
    <t>Hair Oil</t>
  </si>
  <si>
    <t>Body Lotion</t>
  </si>
  <si>
    <t>Face Wash</t>
  </si>
  <si>
    <t>Dish Soap</t>
  </si>
  <si>
    <t>Sanitary Pads</t>
  </si>
  <si>
    <t>Toilet Paper</t>
  </si>
  <si>
    <t>Deodorant</t>
  </si>
  <si>
    <t>Floor Cleaner</t>
  </si>
  <si>
    <t>Dish Sponge</t>
  </si>
  <si>
    <t>Razor Blades</t>
  </si>
  <si>
    <t>Shaving Foam</t>
  </si>
  <si>
    <t>Tissue Box</t>
  </si>
  <si>
    <t>Cotton Buds</t>
  </si>
  <si>
    <t>Mouthwash</t>
  </si>
  <si>
    <t>Face Cream</t>
  </si>
  <si>
    <t>Total</t>
  </si>
  <si>
    <t>Maximum</t>
  </si>
  <si>
    <t>Minimum</t>
  </si>
  <si>
    <t>Average</t>
  </si>
  <si>
    <t>Second Highest</t>
  </si>
  <si>
    <t>Second Lowest</t>
  </si>
  <si>
    <t>Status</t>
  </si>
  <si>
    <t>Data</t>
  </si>
  <si>
    <t>John Doe, 25, johndoe@example.com, R001</t>
  </si>
  <si>
    <t>Alice Smith, 30, alicesmith@example.com, R002</t>
  </si>
  <si>
    <t>Bob Brown, 22, bobbrown@example.com, R003</t>
  </si>
  <si>
    <t>Carol White, 27, carolwhite@example.com, R004</t>
  </si>
  <si>
    <t>Dave Johnson, 24, davejohnson@example.com, R005</t>
  </si>
  <si>
    <t>Eve Davis, 29, evedavis@example.com, R006</t>
  </si>
  <si>
    <t>Frank Wilson, 28, frankwilson@example.com, R007</t>
  </si>
  <si>
    <t>Grace Lee, 26, gracelee@example.com, R008</t>
  </si>
  <si>
    <t>Henry King, 31, henryking@example.com, R009</t>
  </si>
  <si>
    <t>Ivy Scott, 23, ivyscott@example.com, R010</t>
  </si>
  <si>
    <t>Jack Adams, 27, jackadams@example.com, R011</t>
  </si>
  <si>
    <t>Karen Hill, 32, karenhill@example.com, R012</t>
  </si>
  <si>
    <t>Leo Perez, 21, leoperez@example.com, R013</t>
  </si>
  <si>
    <t>Mia Clark, 26, miaclark@example.com, R014</t>
  </si>
  <si>
    <t>Noah Lewis, 28, noahlewis@example.com, R015</t>
  </si>
  <si>
    <t>Olivia Baker, 29, oliviabaker@example.com, R016</t>
  </si>
  <si>
    <t>Paul Wright, 25, paulwright@example.com, R017</t>
  </si>
  <si>
    <t>Quinn Harris, 30, quinnharris@example.com, R018</t>
  </si>
  <si>
    <t>Rose Young, 27, roseyoung@example.com, R019</t>
  </si>
  <si>
    <t>Sam Martinez, 24, sammartinez@example.com, R020</t>
  </si>
  <si>
    <t>Name</t>
  </si>
  <si>
    <t>Reg. No.</t>
  </si>
  <si>
    <t>Employee Name</t>
  </si>
  <si>
    <t>Login Time</t>
  </si>
  <si>
    <t>John Doe</t>
  </si>
  <si>
    <t>Alice Smith</t>
  </si>
  <si>
    <t>Bob Brown</t>
  </si>
  <si>
    <t>Carol White</t>
  </si>
  <si>
    <t>Dave Johnson</t>
  </si>
  <si>
    <t>Eve Davis</t>
  </si>
  <si>
    <t>Frank Wilson</t>
  </si>
  <si>
    <t>Grace Lee</t>
  </si>
  <si>
    <t>Henry King</t>
  </si>
  <si>
    <t>Ivy Scott</t>
  </si>
  <si>
    <t>Jack Adams</t>
  </si>
  <si>
    <t>Karen Hill</t>
  </si>
  <si>
    <t>Leo Perez</t>
  </si>
  <si>
    <t>Mia Clark</t>
  </si>
  <si>
    <t>Noah Lewis</t>
  </si>
  <si>
    <t>Olivia Baker</t>
  </si>
  <si>
    <t>Paul Wright</t>
  </si>
  <si>
    <t>Quinn Harris</t>
  </si>
  <si>
    <t>Rose Young</t>
  </si>
  <si>
    <t>Sam Martinez</t>
  </si>
  <si>
    <t>Arrival</t>
  </si>
  <si>
    <t>Age</t>
  </si>
  <si>
    <t>Email</t>
  </si>
  <si>
    <t>Principal Amount:</t>
  </si>
  <si>
    <t>Interest Rate (% per annum):</t>
  </si>
  <si>
    <t>Loan Tenure (Months):</t>
  </si>
  <si>
    <t>EMI:</t>
  </si>
  <si>
    <t>EmpName</t>
  </si>
  <si>
    <t>EmpEmail</t>
  </si>
  <si>
    <t>John Smith</t>
  </si>
  <si>
    <t>john.smith@example.com</t>
  </si>
  <si>
    <t>Emily Johnson</t>
  </si>
  <si>
    <t>emily.johnson@example.com</t>
  </si>
  <si>
    <t>Michael Brown</t>
  </si>
  <si>
    <t>michael.brown@example.com</t>
  </si>
  <si>
    <t>Sarah Davis</t>
  </si>
  <si>
    <t>sarah.davis@example.com</t>
  </si>
  <si>
    <t>David Wilson</t>
  </si>
  <si>
    <t>david.wilson@example.com</t>
  </si>
  <si>
    <t>Jessica Garcia</t>
  </si>
  <si>
    <t>jessica.garcia@example.com</t>
  </si>
  <si>
    <t>Daniel Martinez</t>
  </si>
  <si>
    <t>daniel.martinez@example.com</t>
  </si>
  <si>
    <t>Laura Hernandez</t>
  </si>
  <si>
    <t>laura.hernandez@example.com</t>
  </si>
  <si>
    <t>James Lee</t>
  </si>
  <si>
    <t>james.lee@example.com</t>
  </si>
  <si>
    <t>Linda Walker</t>
  </si>
  <si>
    <t>linda.walker@example.com</t>
  </si>
  <si>
    <t>Robert Hall</t>
  </si>
  <si>
    <t>robert.hall@example.com</t>
  </si>
  <si>
    <t>Patricia Young</t>
  </si>
  <si>
    <t>patricia.young@example.com</t>
  </si>
  <si>
    <t>Charles Allen</t>
  </si>
  <si>
    <t>charles.allen@example.com</t>
  </si>
  <si>
    <t>Elizabeth Wright</t>
  </si>
  <si>
    <t>elizabeth.wright@example.com</t>
  </si>
  <si>
    <t>Thomas King</t>
  </si>
  <si>
    <t>thomas.king@example.com</t>
  </si>
  <si>
    <t>Jennifer Scott</t>
  </si>
  <si>
    <t>jennifer.scott@example.com</t>
  </si>
  <si>
    <t>Christopher Lee</t>
  </si>
  <si>
    <t>christopher.lee@example.com</t>
  </si>
  <si>
    <t>Maria Lopez</t>
  </si>
  <si>
    <t>maria.lopez@example.com</t>
  </si>
  <si>
    <t>Richard Harris</t>
  </si>
  <si>
    <t>richard.harris@example.com</t>
  </si>
  <si>
    <t>Barbara Clark</t>
  </si>
  <si>
    <t>barbara.clark@example.com</t>
  </si>
  <si>
    <t>William Lewis</t>
  </si>
  <si>
    <t>william.lewis@example.com</t>
  </si>
  <si>
    <t>Olivia Martinez</t>
  </si>
  <si>
    <t>olivia.martinez@example.com</t>
  </si>
  <si>
    <t>Christopher King</t>
  </si>
  <si>
    <t>christopher.king@example.com</t>
  </si>
  <si>
    <t>Angela Turner</t>
  </si>
  <si>
    <t>angela.turner@example.com</t>
  </si>
  <si>
    <t>Henry Thompson</t>
  </si>
  <si>
    <t>henry.thompson@example.com</t>
  </si>
  <si>
    <t>Nicole White</t>
  </si>
  <si>
    <t>nicole.white@example.com</t>
  </si>
  <si>
    <t>Brian Hall</t>
  </si>
  <si>
    <t>brian.hall@example.com</t>
  </si>
  <si>
    <t>Item Name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</si>
  <si>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</si>
  <si>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</si>
  <si>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</si>
  <si>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</si>
  <si>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</si>
  <si>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</si>
  <si>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</si>
  <si>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</si>
  <si>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</si>
  <si>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</si>
  <si>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</si>
  <si>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Cement</t>
  </si>
  <si>
    <t>Bricks</t>
  </si>
  <si>
    <t>Steel Bars</t>
  </si>
  <si>
    <t>Sand</t>
  </si>
  <si>
    <t>Gravel</t>
  </si>
  <si>
    <t>Concrete Mix</t>
  </si>
  <si>
    <t>Paint</t>
  </si>
  <si>
    <t>Plywood</t>
  </si>
  <si>
    <t>Electrical Wires</t>
  </si>
  <si>
    <t>Plumbing Pipes</t>
  </si>
  <si>
    <t>Item Name:</t>
  </si>
  <si>
    <t>Month:</t>
  </si>
  <si>
    <t>Sales Amount:</t>
  </si>
  <si>
    <t>=AND($A1=$Q$2, A$1=$Q$3)</t>
  </si>
  <si>
    <t>Corrected Formula:</t>
  </si>
  <si>
    <t>First_Name</t>
  </si>
  <si>
    <t>Last_Name</t>
  </si>
  <si>
    <t>Gender</t>
  </si>
  <si>
    <t>CTC (USD)</t>
  </si>
  <si>
    <t>Male</t>
  </si>
  <si>
    <t>Smith</t>
  </si>
  <si>
    <t>Female</t>
  </si>
  <si>
    <t>Johnson</t>
  </si>
  <si>
    <t>Brown</t>
  </si>
  <si>
    <t>jAmEs</t>
  </si>
  <si>
    <t>Full_Name</t>
  </si>
  <si>
    <t>CTC in Lakhs</t>
  </si>
  <si>
    <t>Gender_Code</t>
  </si>
  <si>
    <t>aShLeY</t>
  </si>
  <si>
    <t>WilKins</t>
  </si>
  <si>
    <t>rOnALD</t>
  </si>
  <si>
    <t>mAcDonald</t>
  </si>
  <si>
    <t>cHaRlie</t>
  </si>
  <si>
    <t>mAdIsOn</t>
  </si>
  <si>
    <t>nAtHaN</t>
  </si>
  <si>
    <t>kIm</t>
  </si>
  <si>
    <t>TAYLOR</t>
  </si>
  <si>
    <t>sOphIa</t>
  </si>
  <si>
    <t>PERRY</t>
  </si>
  <si>
    <t>tHomaS</t>
  </si>
  <si>
    <t>WAtSon</t>
  </si>
  <si>
    <t>eMMA</t>
  </si>
  <si>
    <t>JOnEs</t>
  </si>
  <si>
    <t>oLiViA</t>
  </si>
  <si>
    <t>SAnders</t>
  </si>
  <si>
    <t>dAvid</t>
  </si>
  <si>
    <t>cLark</t>
  </si>
  <si>
    <t>aLice</t>
  </si>
  <si>
    <t>hArRiNgTon</t>
  </si>
  <si>
    <t>sAm</t>
  </si>
  <si>
    <t>MIllER</t>
  </si>
  <si>
    <t>iSABEL</t>
  </si>
  <si>
    <t>ROGERS</t>
  </si>
  <si>
    <t>bLACK</t>
  </si>
  <si>
    <t>jULiA</t>
  </si>
  <si>
    <t>MOORE</t>
  </si>
  <si>
    <t>nOah</t>
  </si>
  <si>
    <t>hAll</t>
  </si>
  <si>
    <t>lEAh</t>
  </si>
  <si>
    <t>aNdERson</t>
  </si>
  <si>
    <t>cOnnor</t>
  </si>
  <si>
    <t>JaMes</t>
  </si>
  <si>
    <t>zOe</t>
  </si>
  <si>
    <t>HENRY</t>
  </si>
  <si>
    <t>eLI</t>
  </si>
  <si>
    <t>MARTIN</t>
  </si>
  <si>
    <t>CTC Category</t>
  </si>
  <si>
    <t>Population of India</t>
  </si>
  <si>
    <t>Last 5 years population of India.</t>
  </si>
  <si>
    <t>EmpID</t>
  </si>
  <si>
    <t>EmpDept</t>
  </si>
  <si>
    <t>Marketing</t>
  </si>
  <si>
    <t>Lisa Smith</t>
  </si>
  <si>
    <t>Sales</t>
  </si>
  <si>
    <t>HR</t>
  </si>
  <si>
    <t>Emma Johnson</t>
  </si>
  <si>
    <t>IT</t>
  </si>
  <si>
    <t>Noah Williams</t>
  </si>
  <si>
    <t>Olivia Davis</t>
  </si>
  <si>
    <t>David Lee</t>
  </si>
  <si>
    <t>Sarah Clark</t>
  </si>
  <si>
    <t>James White</t>
  </si>
  <si>
    <t>Lily Harris</t>
  </si>
  <si>
    <t>Samuel Green</t>
  </si>
  <si>
    <t>Zoe Taylor</t>
  </si>
  <si>
    <t>Charles King</t>
  </si>
  <si>
    <t>Olivia Parker</t>
  </si>
  <si>
    <t>Ethan Miller</t>
  </si>
  <si>
    <t>Isabella Scott</t>
  </si>
  <si>
    <t>Benjamin Hall</t>
  </si>
  <si>
    <t>Mia Adams</t>
  </si>
  <si>
    <t>Alexander Wood</t>
  </si>
  <si>
    <t>Grace Martinez</t>
  </si>
  <si>
    <t>Distinct Department count:</t>
  </si>
  <si>
    <t>EmpCount</t>
  </si>
  <si>
    <t>Total Employee count:</t>
  </si>
  <si>
    <t>👈 See AI functions here</t>
  </si>
  <si>
    <t>DYNAMIC CRYSTAL COLOR: A billion shades of color pop into view when you turn on this TV; Every subtle variation becomes clear with Dynamic Crystal Color—tech that achieves a different level of UHD using advanced technology.voltage : 120 volts
CRYSTAL PROCESSOR W/ 4K UPSCALING: Watch the content you love upgraded to dazzling 4K resolution; You’ll be able to better enjoy your TV’s capabilities as the Crystal Processor automatically transforms color, sound and more
MOTION XCELERATOR: Experience smooth motion and improved clarity with Motion Xcelerator; Now you can fuel your need for speed with high-intensity sports, movies and games, and enjoy crisp and clear details at the same time*
MEGA CONTRAST: See more detail as our Mega Contrast analyzes and adjusts each image; Every frame appears more natural, and a feeling of depth is added as contrast is dialed up in the foreground
HDR: Take in an impressive spectrum of colors and fine details, even in the darkest scenes; Brightness and contrast are automatically dialed into their ideal levels in every frame so you can see your content as it’s meant to be seen
OBJECT TRACKING SOUND LITE: Get in the mix with Object Tracking Sound Lite; You’ll hear 3D surround sound that follows the movement on screen using our incredible virtual top channel audio
ULTRA SLIM DESIGN: You’ll hardly have a chance to admire the AirSlim Design —so thin it practically blends into your wall; It’s the perfect fit for any room with a streamlined profile that sets it apart from the competition
Q-SYMPHONY 3.0: With Q-Symphony, your TV speakers paired with Q-Series and S- Series soundbar operate as one; Together, they can optimize all the channels to bring you a masterfully orchestrated sound experience**
SOLAR CELL REMOTE: Turn up the volume on sustainability with the innovative SolarCell Remote; It features a solar panel for charging, as well as other smart features including a built-in microphone to use with your favorite voice assistant
CONNECTTIME: It’s now easier to take video calls from connected devices by using a big screen TV platform; No need to pause your conversation for a snack break - ConnecTime allows users to transition calls from their TV to a smaller device***</t>
  </si>
  <si>
    <t>SAMSUNG 55-Inch Class Crystal UHD 4K CU8000 Series PurColor, Object Tracking Sound Lite, Q-Symphony, Motion Xcelerator, Ultra Slim, Solar Remote, Smart TV with Alexa Built-in (UN55CU8000, 2023 Model).</t>
  </si>
  <si>
    <t>Category</t>
  </si>
  <si>
    <t>Short Description</t>
  </si>
  <si>
    <t>Description</t>
  </si>
  <si>
    <t>Product Name</t>
  </si>
  <si>
    <t>👈 See prompts here</t>
  </si>
  <si>
    <t>Suggest product category, return category name only</t>
  </si>
  <si>
    <t>Write short description. Max length: 60 characters</t>
  </si>
  <si>
    <t>Prompt:</t>
  </si>
  <si>
    <r>
      <rPr>
        <b/>
        <sz val="14"/>
        <color rgb="FFFFFFFF"/>
        <rFont val="Calibri"/>
        <family val="2"/>
      </rPr>
      <t xml:space="preserve">WRITE </t>
    </r>
    <r>
      <rPr>
        <b/>
        <sz val="20"/>
        <color rgb="FFFFFFFF"/>
        <rFont val="Calibri"/>
        <family val="2"/>
      </rPr>
      <t>PRODUCT SHORT DESCRIPTION AND CATEGORY</t>
    </r>
  </si>
  <si>
    <t>=AI.ASK(prompt,[value],[temperature],[maxTokens],[model])</t>
  </si>
  <si>
    <t>Syntax</t>
  </si>
  <si>
    <t>AI.ASK</t>
  </si>
  <si>
    <t>Function</t>
  </si>
  <si>
    <t>Connect with a local Dallas, TX attorney with proven experience helping clients with Texas car accident issues.</t>
  </si>
  <si>
    <t>Dallas, TX</t>
  </si>
  <si>
    <t xml:space="preserve">Clark | von Plonski | Anderson </t>
  </si>
  <si>
    <t>Collen A. Clark</t>
  </si>
  <si>
    <t>Top rated Car Accident lawyer</t>
  </si>
  <si>
    <t>Click to view profile of Collen A. Clark, a top rated Car Accident attorney in Dallas, TX</t>
  </si>
  <si>
    <t>View profile</t>
  </si>
  <si>
    <t>Contact me</t>
  </si>
  <si>
    <t>Kay L. Van Wey is an experienced car accident attorney practicing in the Dallas area.</t>
  </si>
  <si>
    <t xml:space="preserve">Van Wey, Metzler &amp; Williams </t>
  </si>
  <si>
    <t>Kay L. Van Wey</t>
  </si>
  <si>
    <t>Click to view profile of Kay L. Van Wey, a top rated Car Accident attorney in Dallas, TX</t>
  </si>
  <si>
    <t>Experienced, assertive car accident representation in the Dallas, TX area.</t>
  </si>
  <si>
    <t>Serving Dallas, TX (Denton, TX)</t>
  </si>
  <si>
    <t xml:space="preserve">Alagood Cartwright Burke PC </t>
  </si>
  <si>
    <t>Brian T. Cartwright</t>
  </si>
  <si>
    <t>Click to view profile of Brian T. Cartwright, a top rated Car Accident attorney in Denton, TX</t>
  </si>
  <si>
    <t>Kristina N. "Krisi" Kastl is an experienced car accident attorney practicing in the Dallas area.</t>
  </si>
  <si>
    <t xml:space="preserve">Kastl Law, P.C. </t>
  </si>
  <si>
    <t>Kristina N. "Krisi" Kastl</t>
  </si>
  <si>
    <t xml:space="preserve">Click to view profile of Kristina N. </t>
  </si>
  <si>
    <t>Ragan Speer has multiple years of experience in helping clients with their car accident needs in Dallas, TX.</t>
  </si>
  <si>
    <t xml:space="preserve">Clement + Speer </t>
  </si>
  <si>
    <t>Ragan Speer</t>
  </si>
  <si>
    <t>Click to view profile of Ragan Speer, a top rated Car Accident attorney in Dallas, TX</t>
  </si>
  <si>
    <t>Experienced car accident attorney. Serving Dallas, Texas residents.</t>
  </si>
  <si>
    <t xml:space="preserve">Mullen &amp; Mullen Law Firm </t>
  </si>
  <si>
    <t>Shane V. Mullen</t>
  </si>
  <si>
    <t>Click to view profile of Shane V. Mullen, a top rated Car Accident attorney in Dallas, TX</t>
  </si>
  <si>
    <t>Ron McCallum has multiple years of experience in helping clients with their car accident needs in Dallas, TX.</t>
  </si>
  <si>
    <t xml:space="preserve">Ron McCallum &amp; Associates PLLC </t>
  </si>
  <si>
    <t>Ron McCallum</t>
  </si>
  <si>
    <t>Click to view profile of Ron McCallum, a top rated Car Accident attorney in Dallas, TX</t>
  </si>
  <si>
    <t xml:space="preserve">Montgomery Law, PLLC </t>
  </si>
  <si>
    <t>Sadat Montgomery</t>
  </si>
  <si>
    <t>Click to view profile of Sadat Montgomery, a top rated Car Accident attorney in Dallas, TX</t>
  </si>
  <si>
    <t>When you've suffered devastating injury or loss, we make sure the wrongdoers are held accountable for their actions.</t>
  </si>
  <si>
    <t xml:space="preserve">The Franklin Law Firm, LLP </t>
  </si>
  <si>
    <t>Jason Franklin</t>
  </si>
  <si>
    <t>Click to view profile of Jason Franklin, a top rated Car Accident attorney in Dallas, TX</t>
  </si>
  <si>
    <t>Mazzu Law is a Personal Injury Law Firm Built on Core Values. We Help People Rebuild Their Lives After a Car Accident.</t>
  </si>
  <si>
    <t>Serving Dallas, TX (Orchard Park, NY)</t>
  </si>
  <si>
    <t xml:space="preserve">Mazzu Law PLLC </t>
  </si>
  <si>
    <t>Edward Mazzu</t>
  </si>
  <si>
    <t>Click to view profile of Edward Mazzu, a top rated Car Accident attorney in Buffalo, NY</t>
  </si>
  <si>
    <t>Schedule a free video, phone, or in-person consultation if you have been injured in a motor vehicle accident!</t>
  </si>
  <si>
    <t xml:space="preserve">Richard Trial Attorneys, PLLC </t>
  </si>
  <si>
    <t>Cephus Richard</t>
  </si>
  <si>
    <t>Click to view profile of Cephus Richard, a top rated Car Accident attorney in Dallas, TX</t>
  </si>
  <si>
    <t>Krisi Kastl is the lifeline Motor Vehicle Accident victims need to recover maximum compensation.</t>
  </si>
  <si>
    <t>Click to view profile of Kristina N. "Krisi" Kastl, a top rated Car Accident attorney in Dallas, TX</t>
  </si>
  <si>
    <t>Standing up for people in situations where they can’t stand up for themselves is a precious gift that I’m immensely grateful for</t>
  </si>
  <si>
    <t xml:space="preserve">Schorr Law Firm, P.C. </t>
  </si>
  <si>
    <t>Geoffrey Schorr</t>
  </si>
  <si>
    <t>Click to view profile of Geoffrey Schorr, a top rated Car Accident attorney in Garland, TX</t>
  </si>
  <si>
    <t>Board Certified Personal Injury Attorney That Will Get You The Compensation You Deserve. Spanish Speaking Available. Call Now!</t>
  </si>
  <si>
    <t>Serving Dallas, TX (Statewide)</t>
  </si>
  <si>
    <t xml:space="preserve">Hernandez Law Group, P.C. </t>
  </si>
  <si>
    <t>Juan Hernandez</t>
  </si>
  <si>
    <t>Click to view profile of Juan Hernandez, a top rated Car Accident attorney in Dallas, TX</t>
  </si>
  <si>
    <t>If You Or A Loved One Has Fallen Victim To Negligence That’s Resulted In Injury Or Death, Call Us Now.</t>
  </si>
  <si>
    <t xml:space="preserve">Fears Law </t>
  </si>
  <si>
    <t>Bryan Fears</t>
  </si>
  <si>
    <t>Click to view profile of Bryan Fears, a top rated Car Accident attorney in Dallas, TX</t>
  </si>
  <si>
    <t>Fighting For Car And Truck Wreck Victims - Winning For 25 Years</t>
  </si>
  <si>
    <t xml:space="preserve">Frenkel &amp; Frenkel, L.L.P. </t>
  </si>
  <si>
    <t>Mark Frenkel</t>
  </si>
  <si>
    <t>Click to view profile of Mark Frenkel, a top rated Car Accident attorney in Dallas, TX</t>
  </si>
  <si>
    <t xml:space="preserve"> = SPONSORED SUPER LAWYERS SELECTEES</t>
  </si>
  <si>
    <t>UNSTRUCTURED TEXT</t>
  </si>
  <si>
    <t>Location</t>
  </si>
  <si>
    <t>Law Firm</t>
  </si>
  <si>
    <t>Display car accident lawyers</t>
  </si>
  <si>
    <t>Prompt</t>
  </si>
  <si>
    <r>
      <rPr>
        <b/>
        <sz val="14"/>
        <color rgb="FFFFFFFF"/>
        <rFont val="Calibri"/>
        <family val="2"/>
      </rPr>
      <t xml:space="preserve">TABLE </t>
    </r>
    <r>
      <rPr>
        <b/>
        <sz val="20"/>
        <color rgb="FFFFFFFF"/>
        <rFont val="Calibri"/>
        <family val="2"/>
      </rPr>
      <t>FROM UNSTRUCTURED TEXT</t>
    </r>
  </si>
  <si>
    <t>👈 See AI function here</t>
  </si>
  <si>
    <t xml:space="preserve">Country </t>
  </si>
  <si>
    <t>Director</t>
  </si>
  <si>
    <t>Title</t>
  </si>
  <si>
    <t>Year</t>
  </si>
  <si>
    <t>Top 10 movies of all times with release year and main actor</t>
  </si>
  <si>
    <r>
      <rPr>
        <b/>
        <sz val="14"/>
        <color rgb="FFFFFFFF"/>
        <rFont val="Calibri"/>
        <family val="2"/>
      </rPr>
      <t xml:space="preserve">TABLE </t>
    </r>
    <r>
      <rPr>
        <b/>
        <sz val="20"/>
        <color rgb="FFFFFFFF"/>
        <rFont val="Calibri"/>
        <family val="2"/>
      </rPr>
      <t>WITH SPECIFIC COLUMNS</t>
    </r>
  </si>
  <si>
    <r>
      <t xml:space="preserve">TABLE </t>
    </r>
    <r>
      <rPr>
        <b/>
        <sz val="20"/>
        <color rgb="FFFFFFFF"/>
        <rFont val="Calibri"/>
        <family val="2"/>
      </rPr>
      <t>MOVIES OF ALL TIME</t>
    </r>
  </si>
  <si>
    <t>=AI.TABLE(prompt,[value],[temperature],[maxTokens],[model])</t>
  </si>
  <si>
    <t>AI.TABLE</t>
  </si>
  <si>
    <t>Discover the ultimate performance with the Falcon X Drone by DRT. Features include a 4K UHD camera, 30min flight time, GPS and GLONASS support, and a max speed of 60mph. Its foldable design makes it perfect for travel. Drone can travel up to 20 miles and operate at temperature 5F to 120F.</t>
  </si>
  <si>
    <t>Add your own parameter here</t>
  </si>
  <si>
    <t>&lt;-- Convert to mertic system</t>
  </si>
  <si>
    <t>Must provide their metric equivalent.</t>
  </si>
  <si>
    <t>Units of measurement</t>
  </si>
  <si>
    <t xml:space="preserve"> &lt;-- Replacing Abbreviation with a full name</t>
  </si>
  <si>
    <t>*DRT - Drone Robotis Tech</t>
  </si>
  <si>
    <t>Translate according to glossary</t>
  </si>
  <si>
    <t>Note: For a better results, use GPT 4 or GPT 4 Turbo model</t>
  </si>
  <si>
    <t>Instructions</t>
  </si>
  <si>
    <r>
      <rPr>
        <b/>
        <sz val="14"/>
        <color rgb="FFFFFFFF"/>
        <rFont val="Calibri"/>
        <family val="2"/>
      </rPr>
      <t xml:space="preserve">TRANSLATE WITH </t>
    </r>
    <r>
      <rPr>
        <b/>
        <sz val="20"/>
        <color rgb="FFFFFFFF"/>
        <rFont val="Calibri"/>
        <family val="2"/>
      </rPr>
      <t>INSTRUCTIONS</t>
    </r>
  </si>
  <si>
    <t xml:space="preserve">To travel is to live. </t>
  </si>
  <si>
    <t xml:space="preserve">Be the voice, not the echo. </t>
  </si>
  <si>
    <t xml:space="preserve">Leadership is an art. </t>
  </si>
  <si>
    <t xml:space="preserve">We are building the future with cutting-edge tehcnologies. </t>
  </si>
  <si>
    <t xml:space="preserve">Eat. Sleep. Recycle. </t>
  </si>
  <si>
    <t xml:space="preserve">IBM is an excellent company to work for! </t>
  </si>
  <si>
    <t>SalesForce is one of the leading technology platforms.</t>
  </si>
  <si>
    <t>Output:</t>
  </si>
  <si>
    <t>Text</t>
  </si>
  <si>
    <r>
      <rPr>
        <b/>
        <sz val="14"/>
        <color rgb="FFFFFFFF"/>
        <rFont val="Calibri"/>
        <family val="2"/>
      </rPr>
      <t xml:space="preserve">TRANSLATE </t>
    </r>
    <r>
      <rPr>
        <b/>
        <sz val="20"/>
        <color rgb="FFFFFFFF"/>
        <rFont val="Calibri"/>
        <family val="2"/>
      </rPr>
      <t>ONE LANGUAGE MULTIPLE ROWS</t>
    </r>
  </si>
  <si>
    <t>Hindi</t>
  </si>
  <si>
    <t>Swedish</t>
  </si>
  <si>
    <t>Spanish</t>
  </si>
  <si>
    <t xml:space="preserve">Italian </t>
  </si>
  <si>
    <t>Chinese</t>
  </si>
  <si>
    <t xml:space="preserve">German </t>
  </si>
  <si>
    <t>French</t>
  </si>
  <si>
    <t>Language</t>
  </si>
  <si>
    <r>
      <rPr>
        <b/>
        <sz val="14"/>
        <color rgb="FFFFFFFF"/>
        <rFont val="Calibri"/>
        <family val="2"/>
      </rPr>
      <t xml:space="preserve">TRANSLATE </t>
    </r>
    <r>
      <rPr>
        <b/>
        <sz val="20"/>
        <color rgb="FFFFFFFF"/>
        <rFont val="Calibri"/>
        <family val="2"/>
      </rPr>
      <t>MULTIPLE ROWS</t>
    </r>
  </si>
  <si>
    <t>Boost your productivity with ChatGPT for Excel - the ultimate tool for Microsoft Excel ™ users! With our AI-powered add-in, you can automate tasks, gain valuable insights and save time and efforts.</t>
  </si>
  <si>
    <r>
      <rPr>
        <b/>
        <sz val="14"/>
        <color rgb="FFFFFFFF"/>
        <rFont val="Calibri"/>
        <family val="2"/>
      </rPr>
      <t xml:space="preserve">TRANSLATE </t>
    </r>
    <r>
      <rPr>
        <b/>
        <sz val="20"/>
        <color rgb="FFFFFFFF"/>
        <rFont val="Calibri"/>
        <family val="2"/>
      </rPr>
      <t>SINGLE CELL</t>
    </r>
  </si>
  <si>
    <t>=AI.TRANSLATE(value,language,[instruction])</t>
  </si>
  <si>
    <t>AI.TRANSLATE</t>
  </si>
  <si>
    <t>Department</t>
  </si>
  <si>
    <t xml:space="preserve">Ms. Lopez Abigail; Evco Plastics # Mexico, Procurement </t>
  </si>
  <si>
    <t>Country</t>
  </si>
  <si>
    <t xml:space="preserve">Mr. Alex Silva, Canada Customer Service, Apple </t>
  </si>
  <si>
    <t>Company</t>
  </si>
  <si>
    <t xml:space="preserve">Mr. Kenneth Marek Sales, IBM, Germany </t>
  </si>
  <si>
    <t>Phone</t>
  </si>
  <si>
    <t xml:space="preserve">Please enter a valid email address, or use the following number to reach out %^211-462-3726 </t>
  </si>
  <si>
    <t>You can reach us by email or fax at #!&lt;472-122-6831&gt;?</t>
  </si>
  <si>
    <t>Hi, my name is Tom Jones and I can be reached at 213#4$44(8163%</t>
  </si>
  <si>
    <t>Please contact us at eight eigher 1 dash three 7two dash 2135</t>
  </si>
  <si>
    <t>Output</t>
  </si>
  <si>
    <t>Extract</t>
  </si>
  <si>
    <t>Unstructured Data</t>
  </si>
  <si>
    <r>
      <rPr>
        <b/>
        <sz val="14"/>
        <color rgb="FFFFFFFF"/>
        <rFont val="Calibri"/>
        <family val="2"/>
      </rPr>
      <t xml:space="preserve">EXTRACT </t>
    </r>
    <r>
      <rPr>
        <b/>
        <sz val="20"/>
        <color rgb="FFFFFFFF"/>
        <rFont val="Calibri"/>
        <family val="2"/>
      </rPr>
      <t>MULTIPLE ROWS</t>
    </r>
  </si>
  <si>
    <t>The best email to reach out is Sandra Jones at KMPG dot com</t>
  </si>
  <si>
    <r>
      <rPr>
        <b/>
        <sz val="14"/>
        <color rgb="FFFFFFFF"/>
        <rFont val="Calibri"/>
        <family val="2"/>
      </rPr>
      <t xml:space="preserve">EXTRACT </t>
    </r>
    <r>
      <rPr>
        <b/>
        <sz val="20"/>
        <color rgb="FFFFFFFF"/>
        <rFont val="Calibri"/>
        <family val="2"/>
      </rPr>
      <t>EMAILS</t>
    </r>
  </si>
  <si>
    <t>=AI.EXTRACT(value,extract)</t>
  </si>
  <si>
    <t>AI.EXTRACT</t>
  </si>
  <si>
    <t>Quantity</t>
  </si>
  <si>
    <t>Date Added</t>
  </si>
  <si>
    <t>Cost ($)</t>
  </si>
  <si>
    <t>Product ID</t>
  </si>
  <si>
    <t>Table with Formatted Data (Product name and Status)</t>
  </si>
  <si>
    <t>out of stock</t>
  </si>
  <si>
    <t>Tablet</t>
  </si>
  <si>
    <t>available</t>
  </si>
  <si>
    <t>Smart-Watch</t>
  </si>
  <si>
    <t>Available</t>
  </si>
  <si>
    <t>Television</t>
  </si>
  <si>
    <t>Mobile Phone</t>
  </si>
  <si>
    <t>out of Stock</t>
  </si>
  <si>
    <t>Head-phones</t>
  </si>
  <si>
    <t>laptop. ,</t>
  </si>
  <si>
    <t>Table with Unformatted Data</t>
  </si>
  <si>
    <t>Format product name and status in the table below</t>
  </si>
  <si>
    <r>
      <rPr>
        <b/>
        <sz val="14"/>
        <color rgb="FFFFFFFF"/>
        <rFont val="Calibri"/>
        <family val="2"/>
      </rPr>
      <t xml:space="preserve">FORMAT </t>
    </r>
    <r>
      <rPr>
        <b/>
        <sz val="20"/>
        <color rgb="FFFFFFFF"/>
        <rFont val="Calibri"/>
        <family val="2"/>
      </rPr>
      <t>DATA IN TABLE</t>
    </r>
  </si>
  <si>
    <t>=AI.FORMAT(value,format)</t>
  </si>
  <si>
    <t>AI.FORMAT</t>
  </si>
  <si>
    <t xml:space="preserve">Tajikistan </t>
  </si>
  <si>
    <t>Japan</t>
  </si>
  <si>
    <t>Hungary</t>
  </si>
  <si>
    <t>Czech Republic</t>
  </si>
  <si>
    <t>Germany</t>
  </si>
  <si>
    <t>New Zealand</t>
  </si>
  <si>
    <t xml:space="preserve">Australia </t>
  </si>
  <si>
    <t xml:space="preserve">Brazil </t>
  </si>
  <si>
    <t>India</t>
  </si>
  <si>
    <t>Chinese Yuan</t>
  </si>
  <si>
    <t>Asia</t>
  </si>
  <si>
    <t xml:space="preserve">China </t>
  </si>
  <si>
    <t>US Dollar</t>
  </si>
  <si>
    <t>Americas</t>
  </si>
  <si>
    <t>United States</t>
  </si>
  <si>
    <t>Currency</t>
  </si>
  <si>
    <t>Region</t>
  </si>
  <si>
    <r>
      <rPr>
        <b/>
        <sz val="14"/>
        <color rgb="FFFFFFFF"/>
        <rFont val="Calibri"/>
        <family val="2"/>
      </rPr>
      <t xml:space="preserve">FILL </t>
    </r>
    <r>
      <rPr>
        <b/>
        <sz val="20"/>
        <color rgb="FFFFFFFF"/>
        <rFont val="Calibri"/>
        <family val="2"/>
      </rPr>
      <t>REGION &amp; CURRENCY</t>
    </r>
  </si>
  <si>
    <t xml:space="preserve">Shazam Music App </t>
  </si>
  <si>
    <t xml:space="preserve">WeChat Messaging App </t>
  </si>
  <si>
    <t xml:space="preserve">WhatsApp Messaging App </t>
  </si>
  <si>
    <t xml:space="preserve">YouTube App </t>
  </si>
  <si>
    <t xml:space="preserve">LinkedIn Professional Netrowk App </t>
  </si>
  <si>
    <t xml:space="preserve">Spotify Music App </t>
  </si>
  <si>
    <t>Turo Car Rental App</t>
  </si>
  <si>
    <t xml:space="preserve">Facebook Social App </t>
  </si>
  <si>
    <t>Microsoft Teams</t>
  </si>
  <si>
    <t>Get the best out of your CRM platform!</t>
  </si>
  <si>
    <t xml:space="preserve">SalesForce CRM </t>
  </si>
  <si>
    <t xml:space="preserve">Unlock the power of GPT in Excel! </t>
  </si>
  <si>
    <t>Chat GPT for Excel App</t>
  </si>
  <si>
    <r>
      <rPr>
        <b/>
        <sz val="14"/>
        <color rgb="FFFFFFFF"/>
        <rFont val="Calibri"/>
        <family val="2"/>
      </rPr>
      <t xml:space="preserve">FILL </t>
    </r>
    <r>
      <rPr>
        <b/>
        <sz val="20"/>
        <color rgb="FFFFFFFF"/>
        <rFont val="Calibri"/>
        <family val="2"/>
      </rPr>
      <t>ADVERTISEMENT TAGLINE</t>
    </r>
  </si>
  <si>
    <t>=AI.FILL(example,partial,[temperature])</t>
  </si>
  <si>
    <t>AI.FILL</t>
  </si>
  <si>
    <t>Provide 10 taglines for my "ChatGPT for Excel" microsoft excel app</t>
  </si>
  <si>
    <r>
      <rPr>
        <b/>
        <sz val="14"/>
        <color rgb="FFFFFFFF"/>
        <rFont val="Calibri"/>
        <family val="2"/>
      </rPr>
      <t xml:space="preserve">LIST </t>
    </r>
    <r>
      <rPr>
        <b/>
        <sz val="20"/>
        <color rgb="FFFFFFFF"/>
        <rFont val="Calibri"/>
        <family val="2"/>
      </rPr>
      <t>MARKETING TAGLINES</t>
    </r>
  </si>
  <si>
    <t>=AI.LIST(prompt,[value],[temperature],[maxTokens],[model])</t>
  </si>
  <si>
    <t>AI.LIST</t>
  </si>
  <si>
    <t>Our CEO will be speaking at the upcoming tech symposium. Don't miss it! More details: [link]</t>
  </si>
  <si>
    <t>LinkedIn</t>
  </si>
  <si>
    <t>Other</t>
  </si>
  <si>
    <t>Caption this photo for a chance to win a free product! #CaptionContest</t>
  </si>
  <si>
    <t>Instagram</t>
  </si>
  <si>
    <t>Educational Content</t>
  </si>
  <si>
    <t>We're excited to announce the opening of our new office in New York! Stay tuned for more updates.</t>
  </si>
  <si>
    <t>Facebook</t>
  </si>
  <si>
    <t>Engagement Post</t>
  </si>
  <si>
    <t>Did you know? Our software can help increase your productivity by 30%! Learn more: [link]</t>
  </si>
  <si>
    <t>Twitter</t>
  </si>
  <si>
    <t>Event Promotion</t>
  </si>
  <si>
    <t>Join us at the annual industry conference next month. Register now: [link]</t>
  </si>
  <si>
    <t>Company News</t>
  </si>
  <si>
    <t>Our customers love our service! Here's what @happy_customer123 had to say: 'Amazing experience! Totally recommend.'</t>
  </si>
  <si>
    <t>Customer Testimonial</t>
  </si>
  <si>
    <t>We just reached 10,000 followers! Thank you for your support. #Milestone #ThankYou</t>
  </si>
  <si>
    <t>Product Promotion</t>
  </si>
  <si>
    <t>Check out our latest product, now available with a 20% discount! Shop now: [link]</t>
  </si>
  <si>
    <t>Categories</t>
  </si>
  <si>
    <t xml:space="preserve"> Category</t>
  </si>
  <si>
    <t>Date</t>
  </si>
  <si>
    <t>PostText</t>
  </si>
  <si>
    <t>Platform</t>
  </si>
  <si>
    <t>PostID</t>
  </si>
  <si>
    <t>Let's consider a dataset related to social media posts for a company. ChatGPT needs to categorize each post into predefined categories based on the content and objectives of the post.</t>
  </si>
  <si>
    <r>
      <t xml:space="preserve">CHOOSE </t>
    </r>
    <r>
      <rPr>
        <b/>
        <sz val="20"/>
        <color rgb="FFFFFFFF"/>
        <rFont val="Calibri"/>
        <family val="2"/>
      </rPr>
      <t>POST CATEGORY USING RANGE</t>
    </r>
  </si>
  <si>
    <t>Please close my account permanently.</t>
  </si>
  <si>
    <t>Received a damaged item and need a replacement.</t>
  </si>
  <si>
    <t>The app crashes every time I try to open it.</t>
  </si>
  <si>
    <t>Shipping Issue</t>
  </si>
  <si>
    <t>I'm interested in learning more about the features of your latest product.</t>
  </si>
  <si>
    <t>Product Inquiry</t>
  </si>
  <si>
    <t>How do I update my payment method for my ongoing subscription?</t>
  </si>
  <si>
    <t>Account Management</t>
  </si>
  <si>
    <t>I can't log into my account. It keeps showing an error message.</t>
  </si>
  <si>
    <t>Technical Issue</t>
  </si>
  <si>
    <t>My order hasn't arrived yet and it's past the estimated delivery date.</t>
  </si>
  <si>
    <t>Billing Issue</t>
  </si>
  <si>
    <t>I was charged twice for my subscription this month. Please rectify this.</t>
  </si>
  <si>
    <t xml:space="preserve"> Timestamp</t>
  </si>
  <si>
    <t xml:space="preserve"> IssueDescription</t>
  </si>
  <si>
    <t xml:space="preserve"> CustomerID</t>
  </si>
  <si>
    <t>TicketID</t>
  </si>
  <si>
    <t>Let’s consider a customer support ticket system where ChatGPT needs to categorize support tickets into predefined categories based on the problem described by the customer.</t>
  </si>
  <si>
    <r>
      <t xml:space="preserve">CHOOSE </t>
    </r>
    <r>
      <rPr>
        <b/>
        <sz val="20"/>
        <color rgb="FFFFFFFF"/>
        <rFont val="Calibri"/>
        <family val="2"/>
      </rPr>
      <t>ISSUE CATEGORY</t>
    </r>
  </si>
  <si>
    <t>=AI.CHOICE(value, choices)</t>
  </si>
  <si>
    <t>AI.CHOICE</t>
  </si>
  <si>
    <t>Population of India.</t>
  </si>
  <si>
    <t>=AI.ASK(B3)</t>
  </si>
  <si>
    <t>=AI.TABLE(B5)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</si>
</sst>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8" formatCode="_([$$-409]* #,##0.00_);_([$$-409]* \(#,##0.00\);_([$$-409]* &quot;-&quot;??_);_(@_)"/>
    <numFmt numFmtId="169" formatCode="&quot;$&quot;#,##0.00_);[Red]\(&quot;$&quot;#,##0.00\)"/>
    <numFmt numFmtId="170" formatCode="m/d/yy\ h:mm;@"/>
  </numFmts>
  <fonts count="28"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rgb="FF000000"/>
      <name val="Aptos Narrow"/>
      <family val="2"/>
    </font>
    <font>
      <sz val="12"/>
      <color theme="1"/>
      <name val="Aptos Narrow"/>
      <family val="2"/>
      <scheme val="minor"/>
    </font>
    <font>
      <i/>
      <sz val="12"/>
      <color rgb="FF000000"/>
      <name val="Calibri"/>
      <family val="2"/>
    </font>
    <font>
      <b/>
      <i/>
      <sz val="9"/>
      <color theme="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4"/>
      <color rgb="FFFFFFFF"/>
      <name val="Calibri"/>
      <family val="2"/>
    </font>
    <font>
      <b/>
      <sz val="20"/>
      <color rgb="FFFFFFFF"/>
      <name val="Calibri"/>
      <family val="2"/>
    </font>
    <font>
      <b/>
      <i/>
      <sz val="12"/>
      <color rgb="FF06A0D4"/>
      <name val="Calibri"/>
      <family val="2"/>
    </font>
    <font>
      <b/>
      <sz val="12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12"/>
      <color rgb="FF000000"/>
      <name val="Aptos Narrow"/>
      <family val="2"/>
    </font>
    <font>
      <b/>
      <i/>
      <sz val="10"/>
      <color rgb="FF000000"/>
      <name val="Calibri"/>
      <family val="2"/>
    </font>
    <font>
      <i/>
      <sz val="9"/>
      <color rgb="FF000000"/>
      <name val="Calibri"/>
      <family val="2"/>
    </font>
    <font>
      <b/>
      <i/>
      <sz val="9"/>
      <color rgb="FF000000"/>
      <name val="Calibri"/>
      <family val="2"/>
    </font>
    <font>
      <i/>
      <sz val="12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color rgb="FF314351"/>
      <name val="Aktiv Grotesk"/>
      <charset val="1"/>
    </font>
    <font>
      <i/>
      <sz val="9"/>
      <color theme="1" tint="0.499984740745262"/>
      <name val="Calibri"/>
      <family val="2"/>
    </font>
    <font>
      <sz val="9"/>
      <color rgb="FF000000"/>
      <name val="Calibri"/>
      <family val="2"/>
    </font>
    <font>
      <b/>
      <i/>
      <sz val="11"/>
      <color rgb="FF06A0D4"/>
      <name val="Calibri"/>
      <family val="2"/>
    </font>
    <font>
      <i/>
      <sz val="8"/>
      <color rgb="FF000000"/>
      <name val="Calibri"/>
      <family val="2"/>
    </font>
    <font>
      <b/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i/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06A0D4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6A0D4"/>
      </left>
      <right style="thin">
        <color rgb="FF06A0D4"/>
      </right>
      <top style="thin">
        <color rgb="FFD9D9D9"/>
      </top>
      <bottom style="thin">
        <color rgb="FF06A0D4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rgb="FF06A0D4"/>
      </left>
      <right style="thin">
        <color rgb="FF06A0D4"/>
      </right>
      <top style="thin">
        <color rgb="FFD9D9D9"/>
      </top>
      <bottom style="thin">
        <color rgb="FFD9D9D9"/>
      </bottom>
      <diagonal/>
    </border>
    <border>
      <left style="thin">
        <color rgb="FF06A0D4"/>
      </left>
      <right style="thin">
        <color rgb="FF06A0D4"/>
      </right>
      <top style="thin">
        <color rgb="FF06A0D4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D9D9D9"/>
      </left>
      <right style="thin">
        <color rgb="FF000000"/>
      </right>
      <top style="thin">
        <color rgb="FF000000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000000"/>
      </top>
      <bottom style="thin">
        <color rgb="FFD9D9D9"/>
      </bottom>
      <diagonal/>
    </border>
    <border>
      <left style="thin">
        <color rgb="FF000000"/>
      </left>
      <right style="thin">
        <color rgb="FFD9D9D9"/>
      </right>
      <top style="thin">
        <color rgb="FF000000"/>
      </top>
      <bottom style="thin">
        <color rgb="FFD9D9D9"/>
      </bottom>
      <diagonal/>
    </border>
    <border>
      <left style="thin">
        <color rgb="FFD9D9D9"/>
      </left>
      <right style="thin">
        <color rgb="FF06A0D4"/>
      </right>
      <top style="thin">
        <color rgb="FFD9D9D9"/>
      </top>
      <bottom style="thin">
        <color rgb="FF06A0D4"/>
      </bottom>
      <diagonal/>
    </border>
    <border>
      <left style="thin">
        <color rgb="FF06A0D4"/>
      </left>
      <right style="thin">
        <color rgb="FFD9D9D9"/>
      </right>
      <top style="thin">
        <color rgb="FFD9D9D9"/>
      </top>
      <bottom style="thin">
        <color rgb="FF06A0D4"/>
      </bottom>
      <diagonal/>
    </border>
    <border>
      <left style="thin">
        <color rgb="FFD9D9D9"/>
      </left>
      <right style="thin">
        <color rgb="FF06A0D4"/>
      </right>
      <top style="thin">
        <color rgb="FFD9D9D9"/>
      </top>
      <bottom style="thin">
        <color rgb="FFD9D9D9"/>
      </bottom>
      <diagonal/>
    </border>
    <border>
      <left style="thin">
        <color rgb="FF06A0D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06A0D4"/>
      </right>
      <top style="thin">
        <color rgb="FF06A0D4"/>
      </top>
      <bottom style="thin">
        <color rgb="FFD9D9D9"/>
      </bottom>
      <diagonal/>
    </border>
    <border>
      <left style="thin">
        <color rgb="FF06A0D4"/>
      </left>
      <right style="thin">
        <color rgb="FFD9D9D9"/>
      </right>
      <top style="thin">
        <color rgb="FF06A0D4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3" fillId="0" borderId="0"/>
  </cellStyleXfs>
  <cellXfs count="148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8" fontId="0" fillId="0" borderId="0" xfId="0" applyNumberFormat="1" applyAlignment="1">
      <alignment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/>
    <xf numFmtId="2" fontId="0" fillId="0" borderId="1" xfId="0" applyNumberFormat="1" applyBorder="1"/>
    <xf numFmtId="0" fontId="0" fillId="0" borderId="6" xfId="0" applyBorder="1"/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8" xfId="0" applyBorder="1"/>
    <xf numFmtId="2" fontId="0" fillId="0" borderId="8" xfId="0" applyNumberFormat="1" applyBorder="1"/>
    <xf numFmtId="0" fontId="0" fillId="0" borderId="9" xfId="0" applyBorder="1"/>
    <xf numFmtId="0" fontId="1" fillId="0" borderId="0" xfId="0" applyFont="1" applyAlignment="1">
      <alignment horizontal="right" vertical="center" wrapText="1"/>
    </xf>
    <xf numFmtId="0" fontId="1" fillId="0" borderId="0" xfId="0" applyFont="1" applyAlignment="1">
      <alignment horizontal="right"/>
    </xf>
    <xf numFmtId="10" fontId="0" fillId="0" borderId="0" xfId="0" applyNumberFormat="1"/>
    <xf numFmtId="0" fontId="0" fillId="2" borderId="0" xfId="0" applyFill="1"/>
    <xf numFmtId="0" fontId="1" fillId="0" borderId="0" xfId="0" applyFont="1"/>
    <xf numFmtId="0" fontId="0" fillId="0" borderId="0" xfId="0" quotePrefix="1"/>
    <xf numFmtId="3" fontId="0" fillId="0" borderId="0" xfId="0" applyNumberFormat="1" applyAlignment="1">
      <alignment vertical="center" wrapText="1"/>
    </xf>
    <xf numFmtId="0" fontId="3" fillId="0" borderId="0" xfId="1"/>
    <xf numFmtId="0" fontId="4" fillId="0" borderId="0" xfId="1" applyFont="1" applyAlignment="1">
      <alignment vertical="top"/>
    </xf>
    <xf numFmtId="0" fontId="4" fillId="3" borderId="10" xfId="1" applyFont="1" applyFill="1" applyBorder="1" applyAlignment="1">
      <alignment vertical="top"/>
    </xf>
    <xf numFmtId="0" fontId="3" fillId="3" borderId="10" xfId="1" applyFill="1" applyBorder="1" applyAlignment="1">
      <alignment horizontal="left" vertical="top" wrapText="1"/>
    </xf>
    <xf numFmtId="0" fontId="3" fillId="0" borderId="10" xfId="1" applyBorder="1" applyAlignment="1">
      <alignment horizontal="left" vertical="top" wrapText="1"/>
    </xf>
    <xf numFmtId="0" fontId="5" fillId="4" borderId="11" xfId="1" applyFont="1" applyFill="1" applyBorder="1" applyAlignment="1">
      <alignment horizontal="left" vertical="top"/>
    </xf>
    <xf numFmtId="0" fontId="6" fillId="5" borderId="0" xfId="1" applyFont="1" applyFill="1" applyAlignment="1">
      <alignment vertical="top" wrapText="1"/>
    </xf>
    <xf numFmtId="0" fontId="7" fillId="5" borderId="0" xfId="1" applyFont="1" applyFill="1" applyAlignment="1">
      <alignment horizontal="right" vertical="top"/>
    </xf>
    <xf numFmtId="0" fontId="8" fillId="5" borderId="0" xfId="1" applyFont="1" applyFill="1" applyAlignment="1">
      <alignment vertical="center"/>
    </xf>
    <xf numFmtId="0" fontId="9" fillId="6" borderId="0" xfId="1" applyFont="1" applyFill="1" applyAlignment="1">
      <alignment horizontal="center" vertical="center" wrapText="1"/>
    </xf>
    <xf numFmtId="0" fontId="11" fillId="0" borderId="0" xfId="1" quotePrefix="1" applyFont="1" applyAlignment="1">
      <alignment vertical="center"/>
    </xf>
    <xf numFmtId="0" fontId="12" fillId="0" borderId="0" xfId="1" applyFont="1"/>
    <xf numFmtId="0" fontId="13" fillId="7" borderId="0" xfId="1" applyFont="1" applyFill="1"/>
    <xf numFmtId="0" fontId="12" fillId="7" borderId="0" xfId="1" applyFont="1" applyFill="1"/>
    <xf numFmtId="0" fontId="14" fillId="0" borderId="0" xfId="1" applyFont="1"/>
    <xf numFmtId="0" fontId="3" fillId="3" borderId="0" xfId="1" applyFill="1"/>
    <xf numFmtId="0" fontId="5" fillId="4" borderId="12" xfId="1" applyFont="1" applyFill="1" applyBorder="1" applyAlignment="1">
      <alignment horizontal="left" vertical="top"/>
    </xf>
    <xf numFmtId="0" fontId="15" fillId="8" borderId="13" xfId="1" applyFont="1" applyFill="1" applyBorder="1" applyAlignment="1">
      <alignment vertical="top"/>
    </xf>
    <xf numFmtId="0" fontId="16" fillId="8" borderId="13" xfId="1" applyFont="1" applyFill="1" applyBorder="1" applyAlignment="1">
      <alignment vertical="top"/>
    </xf>
    <xf numFmtId="0" fontId="17" fillId="8" borderId="13" xfId="1" applyFont="1" applyFill="1" applyBorder="1" applyAlignment="1">
      <alignment vertical="top"/>
    </xf>
    <xf numFmtId="0" fontId="18" fillId="0" borderId="0" xfId="1" applyFont="1"/>
    <xf numFmtId="0" fontId="15" fillId="0" borderId="0" xfId="1" applyFont="1" applyAlignment="1">
      <alignment vertical="top"/>
    </xf>
    <xf numFmtId="0" fontId="16" fillId="0" borderId="0" xfId="1" applyFont="1" applyAlignment="1">
      <alignment vertical="top"/>
    </xf>
    <xf numFmtId="0" fontId="17" fillId="0" borderId="0" xfId="1" applyFont="1" applyAlignment="1">
      <alignment vertical="top"/>
    </xf>
    <xf numFmtId="0" fontId="19" fillId="9" borderId="0" xfId="1" applyFont="1" applyFill="1" applyAlignment="1">
      <alignment horizontal="center" vertical="center" wrapText="1"/>
    </xf>
    <xf numFmtId="0" fontId="9" fillId="9" borderId="0" xfId="1" applyFont="1" applyFill="1" applyAlignment="1">
      <alignment horizontal="center" vertical="center" wrapText="1"/>
    </xf>
    <xf numFmtId="0" fontId="20" fillId="0" borderId="0" xfId="1" applyFont="1"/>
    <xf numFmtId="0" fontId="13" fillId="7" borderId="0" xfId="1" applyFont="1" applyFill="1" applyAlignment="1">
      <alignment horizontal="left"/>
    </xf>
    <xf numFmtId="0" fontId="16" fillId="3" borderId="14" xfId="1" applyFont="1" applyFill="1" applyBorder="1" applyAlignment="1">
      <alignment horizontal="left" vertical="top" wrapText="1"/>
    </xf>
    <xf numFmtId="0" fontId="16" fillId="3" borderId="15" xfId="1" applyFont="1" applyFill="1" applyBorder="1" applyAlignment="1">
      <alignment horizontal="left" vertical="top" wrapText="1"/>
    </xf>
    <xf numFmtId="0" fontId="16" fillId="0" borderId="13" xfId="1" applyFont="1" applyBorder="1" applyAlignment="1">
      <alignment vertical="top" wrapText="1"/>
    </xf>
    <xf numFmtId="0" fontId="16" fillId="5" borderId="0" xfId="1" applyFont="1" applyFill="1" applyAlignment="1">
      <alignment vertical="top" wrapText="1"/>
    </xf>
    <xf numFmtId="0" fontId="17" fillId="5" borderId="15" xfId="1" applyFont="1" applyFill="1" applyBorder="1" applyAlignment="1">
      <alignment vertical="top"/>
    </xf>
    <xf numFmtId="0" fontId="16" fillId="5" borderId="16" xfId="1" applyFont="1" applyFill="1" applyBorder="1" applyAlignment="1">
      <alignment vertical="top"/>
    </xf>
    <xf numFmtId="0" fontId="21" fillId="5" borderId="17" xfId="1" applyFont="1" applyFill="1" applyBorder="1" applyAlignment="1">
      <alignment vertical="top" wrapText="1"/>
    </xf>
    <xf numFmtId="0" fontId="22" fillId="5" borderId="18" xfId="1" applyFont="1" applyFill="1" applyBorder="1" applyAlignment="1">
      <alignment vertical="top" wrapText="1"/>
    </xf>
    <xf numFmtId="0" fontId="21" fillId="5" borderId="19" xfId="1" applyFont="1" applyFill="1" applyBorder="1" applyAlignment="1">
      <alignment vertical="top" wrapText="1"/>
    </xf>
    <xf numFmtId="0" fontId="22" fillId="5" borderId="10" xfId="1" applyFont="1" applyFill="1" applyBorder="1" applyAlignment="1">
      <alignment vertical="top" wrapText="1"/>
    </xf>
    <xf numFmtId="0" fontId="17" fillId="5" borderId="19" xfId="1" applyFont="1" applyFill="1" applyBorder="1" applyAlignment="1">
      <alignment vertical="top"/>
    </xf>
    <xf numFmtId="0" fontId="22" fillId="5" borderId="20" xfId="1" applyFont="1" applyFill="1" applyBorder="1" applyAlignment="1">
      <alignment vertical="top" wrapText="1"/>
    </xf>
    <xf numFmtId="0" fontId="17" fillId="5" borderId="21" xfId="1" applyFont="1" applyFill="1" applyBorder="1" applyAlignment="1">
      <alignment vertical="top"/>
    </xf>
    <xf numFmtId="0" fontId="23" fillId="5" borderId="0" xfId="1" applyFont="1" applyFill="1" applyAlignment="1">
      <alignment vertical="center" wrapText="1"/>
    </xf>
    <xf numFmtId="0" fontId="21" fillId="5" borderId="0" xfId="1" quotePrefix="1" applyFont="1" applyFill="1" applyAlignment="1">
      <alignment vertical="center"/>
    </xf>
    <xf numFmtId="0" fontId="11" fillId="5" borderId="0" xfId="1" applyFont="1" applyFill="1" applyAlignment="1">
      <alignment vertical="center"/>
    </xf>
    <xf numFmtId="0" fontId="4" fillId="0" borderId="0" xfId="1" applyFont="1"/>
    <xf numFmtId="0" fontId="16" fillId="3" borderId="22" xfId="1" applyFont="1" applyFill="1" applyBorder="1" applyAlignment="1">
      <alignment vertical="top" wrapText="1"/>
    </xf>
    <xf numFmtId="0" fontId="24" fillId="0" borderId="23" xfId="1" applyFont="1" applyBorder="1" applyAlignment="1">
      <alignment vertical="center"/>
    </xf>
    <xf numFmtId="0" fontId="24" fillId="0" borderId="13" xfId="1" applyFont="1" applyBorder="1" applyAlignment="1">
      <alignment vertical="center" wrapText="1"/>
    </xf>
    <xf numFmtId="0" fontId="16" fillId="3" borderId="24" xfId="1" applyFont="1" applyFill="1" applyBorder="1" applyAlignment="1">
      <alignment vertical="top" wrapText="1"/>
    </xf>
    <xf numFmtId="0" fontId="16" fillId="3" borderId="25" xfId="1" applyFont="1" applyFill="1" applyBorder="1" applyAlignment="1">
      <alignment vertical="top" wrapText="1"/>
    </xf>
    <xf numFmtId="0" fontId="17" fillId="5" borderId="26" xfId="1" applyFont="1" applyFill="1" applyBorder="1" applyAlignment="1">
      <alignment vertical="top" wrapText="1"/>
    </xf>
    <xf numFmtId="0" fontId="17" fillId="5" borderId="13" xfId="1" applyFont="1" applyFill="1" applyBorder="1" applyAlignment="1">
      <alignment vertical="top"/>
    </xf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wrapText="1"/>
    </xf>
    <xf numFmtId="0" fontId="4" fillId="8" borderId="0" xfId="1" applyFont="1" applyFill="1" applyAlignment="1">
      <alignment vertical="top" wrapText="1"/>
    </xf>
    <xf numFmtId="0" fontId="16" fillId="0" borderId="23" xfId="1" applyFont="1" applyBorder="1" applyAlignment="1">
      <alignment vertical="top"/>
    </xf>
    <xf numFmtId="0" fontId="13" fillId="0" borderId="0" xfId="1" applyFont="1"/>
    <xf numFmtId="0" fontId="16" fillId="3" borderId="25" xfId="1" applyFont="1" applyFill="1" applyBorder="1" applyAlignment="1">
      <alignment vertical="top"/>
    </xf>
    <xf numFmtId="0" fontId="16" fillId="0" borderId="13" xfId="1" applyFont="1" applyBorder="1" applyAlignment="1">
      <alignment vertical="top"/>
    </xf>
    <xf numFmtId="0" fontId="17" fillId="5" borderId="27" xfId="1" applyFont="1" applyFill="1" applyBorder="1" applyAlignment="1">
      <alignment vertical="top" wrapText="1"/>
    </xf>
    <xf numFmtId="0" fontId="17" fillId="5" borderId="23" xfId="1" applyFont="1" applyFill="1" applyBorder="1" applyAlignment="1">
      <alignment vertical="top" wrapText="1"/>
    </xf>
    <xf numFmtId="0" fontId="17" fillId="5" borderId="13" xfId="1" applyFont="1" applyFill="1" applyBorder="1" applyAlignment="1">
      <alignment vertical="top" wrapText="1"/>
    </xf>
    <xf numFmtId="0" fontId="4" fillId="5" borderId="0" xfId="1" applyFont="1" applyFill="1" applyAlignment="1">
      <alignment vertical="top" wrapText="1"/>
    </xf>
    <xf numFmtId="0" fontId="11" fillId="5" borderId="0" xfId="1" quotePrefix="1" applyFont="1" applyFill="1" applyAlignment="1">
      <alignment vertical="center"/>
    </xf>
    <xf numFmtId="22" fontId="16" fillId="3" borderId="25" xfId="1" applyNumberFormat="1" applyFont="1" applyFill="1" applyBorder="1" applyAlignment="1">
      <alignment horizontal="left" vertical="top" wrapText="1"/>
    </xf>
    <xf numFmtId="22" fontId="17" fillId="5" borderId="26" xfId="1" applyNumberFormat="1" applyFont="1" applyFill="1" applyBorder="1" applyAlignment="1">
      <alignment horizontal="left" vertical="top" wrapText="1"/>
    </xf>
    <xf numFmtId="0" fontId="17" fillId="5" borderId="23" xfId="1" applyFont="1" applyFill="1" applyBorder="1" applyAlignment="1">
      <alignment vertical="top"/>
    </xf>
    <xf numFmtId="14" fontId="3" fillId="0" borderId="0" xfId="1" applyNumberFormat="1"/>
    <xf numFmtId="0" fontId="3" fillId="0" borderId="28" xfId="1" applyBorder="1"/>
    <xf numFmtId="0" fontId="3" fillId="3" borderId="29" xfId="1" applyFill="1" applyBorder="1"/>
    <xf numFmtId="14" fontId="3" fillId="0" borderId="29" xfId="1" applyNumberFormat="1" applyBorder="1"/>
    <xf numFmtId="168" fontId="3" fillId="0" borderId="29" xfId="1" applyNumberFormat="1" applyBorder="1"/>
    <xf numFmtId="0" fontId="3" fillId="0" borderId="30" xfId="1" applyBorder="1"/>
    <xf numFmtId="0" fontId="3" fillId="0" borderId="31" xfId="1" applyBorder="1"/>
    <xf numFmtId="168" fontId="3" fillId="0" borderId="0" xfId="1" applyNumberFormat="1"/>
    <xf numFmtId="0" fontId="3" fillId="0" borderId="17" xfId="1" applyBorder="1"/>
    <xf numFmtId="0" fontId="17" fillId="5" borderId="32" xfId="1" applyFont="1" applyFill="1" applyBorder="1" applyAlignment="1">
      <alignment vertical="top"/>
    </xf>
    <xf numFmtId="0" fontId="17" fillId="5" borderId="33" xfId="1" applyFont="1" applyFill="1" applyBorder="1" applyAlignment="1">
      <alignment vertical="top"/>
    </xf>
    <xf numFmtId="0" fontId="17" fillId="5" borderId="34" xfId="1" applyFont="1" applyFill="1" applyBorder="1" applyAlignment="1">
      <alignment vertical="top"/>
    </xf>
    <xf numFmtId="0" fontId="25" fillId="10" borderId="0" xfId="1" applyFont="1" applyFill="1"/>
    <xf numFmtId="0" fontId="3" fillId="11" borderId="29" xfId="1" applyFill="1" applyBorder="1"/>
    <xf numFmtId="169" fontId="3" fillId="0" borderId="29" xfId="1" applyNumberFormat="1" applyBorder="1"/>
    <xf numFmtId="0" fontId="3" fillId="11" borderId="0" xfId="1" applyFill="1"/>
    <xf numFmtId="15" fontId="3" fillId="0" borderId="0" xfId="1" applyNumberFormat="1"/>
    <xf numFmtId="169" fontId="3" fillId="0" borderId="0" xfId="1" applyNumberFormat="1"/>
    <xf numFmtId="0" fontId="11" fillId="0" borderId="0" xfId="1" applyFont="1" applyAlignment="1">
      <alignment vertical="center"/>
    </xf>
    <xf numFmtId="0" fontId="26" fillId="5" borderId="0" xfId="1" applyFont="1" applyFill="1" applyAlignment="1">
      <alignment vertical="center"/>
    </xf>
    <xf numFmtId="0" fontId="3" fillId="0" borderId="0" xfId="1" applyAlignment="1">
      <alignment vertical="top"/>
    </xf>
    <xf numFmtId="0" fontId="16" fillId="3" borderId="35" xfId="1" applyFont="1" applyFill="1" applyBorder="1" applyAlignment="1">
      <alignment vertical="center" wrapText="1"/>
    </xf>
    <xf numFmtId="0" fontId="16" fillId="3" borderId="36" xfId="1" applyFont="1" applyFill="1" applyBorder="1" applyAlignment="1">
      <alignment vertical="center" wrapText="1"/>
    </xf>
    <xf numFmtId="0" fontId="16" fillId="0" borderId="23" xfId="1" applyFont="1" applyBorder="1"/>
    <xf numFmtId="0" fontId="16" fillId="3" borderId="37" xfId="1" applyFont="1" applyFill="1" applyBorder="1" applyAlignment="1">
      <alignment vertical="center" wrapText="1"/>
    </xf>
    <xf numFmtId="0" fontId="16" fillId="3" borderId="38" xfId="1" applyFont="1" applyFill="1" applyBorder="1" applyAlignment="1">
      <alignment vertical="center" wrapText="1"/>
    </xf>
    <xf numFmtId="0" fontId="16" fillId="3" borderId="38" xfId="1" applyFont="1" applyFill="1" applyBorder="1" applyAlignment="1">
      <alignment vertical="center"/>
    </xf>
    <xf numFmtId="0" fontId="16" fillId="3" borderId="39" xfId="1" applyFont="1" applyFill="1" applyBorder="1" applyAlignment="1">
      <alignment vertical="center" wrapText="1"/>
    </xf>
    <xf numFmtId="0" fontId="16" fillId="3" borderId="40" xfId="1" applyFont="1" applyFill="1" applyBorder="1" applyAlignment="1">
      <alignment vertical="center"/>
    </xf>
    <xf numFmtId="0" fontId="16" fillId="0" borderId="26" xfId="1" applyFont="1" applyBorder="1" applyAlignment="1">
      <alignment vertical="center" wrapText="1"/>
    </xf>
    <xf numFmtId="0" fontId="16" fillId="0" borderId="26" xfId="1" applyFont="1" applyBorder="1" applyAlignment="1">
      <alignment vertical="center"/>
    </xf>
    <xf numFmtId="0" fontId="16" fillId="0" borderId="13" xfId="1" applyFont="1" applyBorder="1"/>
    <xf numFmtId="0" fontId="16" fillId="0" borderId="13" xfId="1" applyFont="1" applyBorder="1" applyAlignment="1">
      <alignment vertical="center" wrapText="1"/>
    </xf>
    <xf numFmtId="0" fontId="16" fillId="0" borderId="13" xfId="1" applyFont="1" applyBorder="1" applyAlignment="1">
      <alignment vertical="center"/>
    </xf>
    <xf numFmtId="22" fontId="16" fillId="3" borderId="41" xfId="1" applyNumberFormat="1" applyFont="1" applyFill="1" applyBorder="1" applyAlignment="1">
      <alignment horizontal="left" vertical="top" wrapText="1"/>
    </xf>
    <xf numFmtId="0" fontId="16" fillId="3" borderId="22" xfId="1" applyFont="1" applyFill="1" applyBorder="1" applyAlignment="1">
      <alignment vertical="top"/>
    </xf>
    <xf numFmtId="0" fontId="16" fillId="3" borderId="24" xfId="1" applyFont="1" applyFill="1" applyBorder="1" applyAlignment="1">
      <alignment vertical="top"/>
    </xf>
    <xf numFmtId="0" fontId="16" fillId="0" borderId="23" xfId="1" applyFont="1" applyBorder="1" applyAlignment="1">
      <alignment vertical="top" wrapText="1"/>
    </xf>
    <xf numFmtId="22" fontId="16" fillId="0" borderId="13" xfId="1" applyNumberFormat="1" applyFont="1" applyBorder="1" applyAlignment="1">
      <alignment horizontal="left" vertical="top" wrapText="1"/>
    </xf>
    <xf numFmtId="0" fontId="16" fillId="0" borderId="26" xfId="1" applyFont="1" applyBorder="1" applyAlignment="1">
      <alignment vertical="top"/>
    </xf>
    <xf numFmtId="0" fontId="4" fillId="0" borderId="0" xfId="1" applyFont="1" applyAlignment="1">
      <alignment horizontal="center" vertical="top"/>
    </xf>
    <xf numFmtId="15" fontId="16" fillId="0" borderId="22" xfId="1" applyNumberFormat="1" applyFont="1" applyBorder="1" applyAlignment="1">
      <alignment horizontal="left" vertical="top"/>
    </xf>
    <xf numFmtId="0" fontId="16" fillId="0" borderId="24" xfId="1" applyFont="1" applyBorder="1" applyAlignment="1">
      <alignment horizontal="left" vertical="top"/>
    </xf>
    <xf numFmtId="14" fontId="16" fillId="0" borderId="24" xfId="1" applyNumberFormat="1" applyFont="1" applyBorder="1" applyAlignment="1">
      <alignment horizontal="left" vertical="top"/>
    </xf>
    <xf numFmtId="0" fontId="16" fillId="0" borderId="25" xfId="1" applyFont="1" applyBorder="1" applyAlignment="1">
      <alignment horizontal="left" vertical="top"/>
    </xf>
    <xf numFmtId="0" fontId="16" fillId="5" borderId="13" xfId="1" applyFont="1" applyFill="1" applyBorder="1" applyAlignment="1">
      <alignment vertical="top"/>
    </xf>
    <xf numFmtId="0" fontId="3" fillId="3" borderId="1" xfId="1" applyFill="1" applyBorder="1"/>
    <xf numFmtId="170" fontId="3" fillId="0" borderId="1" xfId="1" applyNumberFormat="1" applyBorder="1"/>
    <xf numFmtId="0" fontId="3" fillId="0" borderId="1" xfId="1" applyBorder="1"/>
    <xf numFmtId="0" fontId="3" fillId="11" borderId="1" xfId="1" applyFill="1" applyBorder="1"/>
    <xf numFmtId="0" fontId="27" fillId="5" borderId="1" xfId="1" applyFont="1" applyFill="1" applyBorder="1" applyAlignment="1">
      <alignment vertical="top" wrapText="1"/>
    </xf>
    <xf numFmtId="0" fontId="26" fillId="5" borderId="0" xfId="1" applyFont="1" applyFill="1" applyAlignment="1">
      <alignment horizontal="left" vertical="top" wrapText="1"/>
    </xf>
    <xf numFmtId="0" fontId="9" fillId="0" borderId="0" xfId="1" applyFont="1" applyAlignment="1">
      <alignment vertical="center" wrapText="1"/>
    </xf>
    <xf numFmtId="22" fontId="3" fillId="0" borderId="1" xfId="1" applyNumberFormat="1" applyBorder="1"/>
    <xf numFmtId="0" fontId="3" fillId="3" borderId="0" xfId="1" applyFill="1" applyBorder="1" applyAlignment="1">
      <alignment horizontal="left" vertical="top" wrapText="1"/>
    </xf>
    <xf numFmtId="0" fontId="3" fillId="0" borderId="0" xfId="1" applyBorder="1"/>
    <xf numFmtId="0" fontId="1" fillId="11" borderId="0" xfId="0" quotePrefix="1" applyFont="1" applyFill="1"/>
  </cellXfs>
  <cellStyles count="2">
    <cellStyle name="Normal" xfId="0" builtinId="0"/>
    <cellStyle name="Normal 2" xfId="1" xr:uid="{846FD444-1C39-4E5A-ADF1-318241A4458C}"/>
  </cellStyles>
  <dxfs count="26"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1</xdr:row>
          <xdr:rowOff>53340</xdr:rowOff>
        </xdr:from>
        <xdr:to>
          <xdr:col>5</xdr:col>
          <xdr:colOff>449580</xdr:colOff>
          <xdr:row>3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ptos Narrow"/>
                </a:rPr>
                <a:t>Calculate EMI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FEC2E5-F91F-4FDA-AB0F-7B7905783D3C}" name="Table1" displayName="Table1" ref="A1:T21" totalsRowShown="0" headerRowDxfId="25" headerRowBorderDxfId="24" tableBorderDxfId="23" totalsRowBorderDxfId="22">
  <autoFilter ref="A1:T21" xr:uid="{1FFEC2E5-F91F-4FDA-AB0F-7B7905783D3C}"/>
  <tableColumns count="20">
    <tableColumn id="1" xr3:uid="{2AEAE08C-F49D-4D7E-84A8-3EF1B3D2950F}" name="Item" dataDxfId="21"/>
    <tableColumn id="2" xr3:uid="{78E72028-931B-40E6-ACA0-6B5928D58BA4}" name="Jan" dataDxfId="20"/>
    <tableColumn id="3" xr3:uid="{3A304127-25F4-461F-A758-46B17E68FC15}" name="Feb" dataDxfId="19"/>
    <tableColumn id="4" xr3:uid="{0A43F1AF-D327-4B85-816D-637810E2B8D0}" name="Mar" dataDxfId="18"/>
    <tableColumn id="5" xr3:uid="{696C8AEA-0A40-436B-9FB5-9F5BFBB0D876}" name="Apr" dataDxfId="17"/>
    <tableColumn id="6" xr3:uid="{E56E3385-3BF1-493B-99E7-C9E9E4D5A0FB}" name="May" dataDxfId="16"/>
    <tableColumn id="7" xr3:uid="{D5D1066A-7EC8-4F0B-9515-384275BA63C2}" name="Jun" dataDxfId="15"/>
    <tableColumn id="8" xr3:uid="{03665326-C9C1-4AD0-BDA7-27929B46CE17}" name="Jul" dataDxfId="14"/>
    <tableColumn id="9" xr3:uid="{C2747C1C-1907-4857-B89C-FAD26B8D66B0}" name="Aug" dataDxfId="13"/>
    <tableColumn id="10" xr3:uid="{1E4C2EDF-BB1D-4E13-952F-661FC796CE54}" name="Sep" dataDxfId="12"/>
    <tableColumn id="11" xr3:uid="{51164AD8-A8F0-4085-997B-D9C857C3D185}" name="Oct" dataDxfId="11"/>
    <tableColumn id="12" xr3:uid="{1C4099DB-A5B5-4935-996B-0B774979A9F6}" name="Nov" dataDxfId="10"/>
    <tableColumn id="13" xr3:uid="{0D0B0370-0CF1-4653-98D6-BECA16511ECB}" name="Dec" dataDxfId="9"/>
    <tableColumn id="14" xr3:uid="{4425869F-D6C4-42AD-AE66-0EB79CB09565}" name="Total" dataDxfId="8">
      <calculatedColumnFormula>SUM(B2:M2)</calculatedColumnFormula>
    </tableColumn>
    <tableColumn id="15" xr3:uid="{54075531-BC63-4932-B174-18DD4F956B65}" name="Maximum" dataDxfId="7">
      <calculatedColumnFormula>MAX(B2:M2)</calculatedColumnFormula>
    </tableColumn>
    <tableColumn id="16" xr3:uid="{2246D530-BE50-4990-8303-79A20B674085}" name="Minimum" dataDxfId="6">
      <calculatedColumnFormula>MIN(B2:M2)</calculatedColumnFormula>
    </tableColumn>
    <tableColumn id="17" xr3:uid="{C3DE0227-AE35-4933-9688-760195D2238F}" name="Average" dataDxfId="5">
      <calculatedColumnFormula>AVERAGE(B2:M2)</calculatedColumnFormula>
    </tableColumn>
    <tableColumn id="18" xr3:uid="{7D185F70-F617-4C16-B135-00A2C1E6C599}" name="Second Highest" dataDxfId="4">
      <calculatedColumnFormula>LARGE(B2:M2, 2)</calculatedColumnFormula>
    </tableColumn>
    <tableColumn id="19" xr3:uid="{D90CCD9B-DA20-4602-9724-3D378EF5F86F}" name="Second Lowest" dataDxfId="3">
      <calculatedColumnFormula>SMALL(B2:M2, 2)</calculatedColumnFormula>
    </tableColumn>
    <tableColumn id="20" xr3:uid="{76F9E704-EC0D-42BD-8029-282ABC3A4FA9}" name="Status" dataDxfId="2">
      <calculatedColumnFormula>IF(N2 &lt; 4000, "Low Sale", IF(N2 &lt;= 5000, "Medium Sale", "High Sale"))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6">
    <wetp:webextensionref xmlns:r="http://schemas.openxmlformats.org/officeDocument/2006/relationships" r:id="rId1"/>
  </wetp:taskpane>
  <wetp:taskpane dockstate="right" visibility="0" width="438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84F76F2-D51E-4FC7-90D4-5C29C43D43AB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572F76E7-8460-48B9-BF66-86DC2E0F2779}">
  <we:reference id="wa200005502" version="1.0.0.11" store="en-US" storeType="OMEX"/>
  <we:alternateReferences>
    <we:reference id="wa200005502" version="1.0.0.11" store="wa200005502" storeType="OMEX"/>
  </we:alternateReferences>
  <we:properties>
    <we:property name="docId" value="&quot;qjdXWBQ9DcUCf4mJ7hLJH&quot;"/>
  </we:properties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mailto:sandra.jones@microsoft.com%20is%20the%20best%20email%20to%20use%20to%20reach%20Sandra%20Jones%20at%20KMPG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8411F-22A7-4F94-8F4F-7E442518C3ED}">
  <sheetPr codeName="Sheet1"/>
  <dimension ref="A1:U21"/>
  <sheetViews>
    <sheetView tabSelected="1" workbookViewId="0"/>
  </sheetViews>
  <sheetFormatPr defaultRowHeight="13.8"/>
  <cols>
    <col min="1" max="1" width="11.5546875" bestFit="1" customWidth="1"/>
    <col min="2" max="2" width="8" bestFit="1" customWidth="1"/>
    <col min="3" max="4" width="8.33203125" bestFit="1" customWidth="1"/>
    <col min="5" max="5" width="8.109375" bestFit="1" customWidth="1"/>
    <col min="6" max="6" width="8.5546875" bestFit="1" customWidth="1"/>
    <col min="7" max="7" width="8.109375" bestFit="1" customWidth="1"/>
    <col min="8" max="8" width="7.6640625" bestFit="1" customWidth="1"/>
    <col min="9" max="9" width="8.33203125" bestFit="1" customWidth="1"/>
    <col min="10" max="10" width="8.44140625" bestFit="1" customWidth="1"/>
    <col min="11" max="11" width="8.109375" bestFit="1" customWidth="1"/>
    <col min="12" max="13" width="8.5546875" bestFit="1" customWidth="1"/>
    <col min="14" max="14" width="9.33203125" bestFit="1" customWidth="1"/>
    <col min="15" max="15" width="13.109375" bestFit="1" customWidth="1"/>
    <col min="16" max="16" width="12.77734375" bestFit="1" customWidth="1"/>
    <col min="17" max="17" width="11.77734375" bestFit="1" customWidth="1"/>
    <col min="18" max="18" width="11.44140625" bestFit="1" customWidth="1"/>
    <col min="19" max="19" width="11.33203125" bestFit="1" customWidth="1"/>
    <col min="20" max="20" width="10.6640625" bestFit="1" customWidth="1"/>
  </cols>
  <sheetData>
    <row r="1" spans="1:21" ht="27.6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33</v>
      </c>
      <c r="O1" s="5" t="s">
        <v>34</v>
      </c>
      <c r="P1" s="5" t="s">
        <v>35</v>
      </c>
      <c r="Q1" s="5" t="s">
        <v>36</v>
      </c>
      <c r="R1" s="5" t="s">
        <v>37</v>
      </c>
      <c r="S1" s="5" t="s">
        <v>38</v>
      </c>
      <c r="T1" s="6" t="s">
        <v>39</v>
      </c>
      <c r="U1" s="1"/>
    </row>
    <row r="2" spans="1:21">
      <c r="A2" s="7" t="s">
        <v>13</v>
      </c>
      <c r="B2" s="8">
        <v>430</v>
      </c>
      <c r="C2" s="8">
        <v>410</v>
      </c>
      <c r="D2" s="8">
        <v>445</v>
      </c>
      <c r="E2" s="8">
        <v>460</v>
      </c>
      <c r="F2" s="8">
        <v>450</v>
      </c>
      <c r="G2" s="8">
        <v>470</v>
      </c>
      <c r="H2" s="8">
        <v>490</v>
      </c>
      <c r="I2" s="8">
        <v>485</v>
      </c>
      <c r="J2" s="8">
        <v>495</v>
      </c>
      <c r="K2" s="8">
        <v>510</v>
      </c>
      <c r="L2" s="8">
        <v>520</v>
      </c>
      <c r="M2" s="8">
        <v>530</v>
      </c>
      <c r="N2" s="9">
        <f>SUM(B2:M2)</f>
        <v>5695</v>
      </c>
      <c r="O2" s="9">
        <f>MAX(B2:M2)</f>
        <v>530</v>
      </c>
      <c r="P2" s="9">
        <f>MIN(B2:M2)</f>
        <v>410</v>
      </c>
      <c r="Q2" s="10">
        <f>AVERAGE(B2:M2)</f>
        <v>474.58333333333331</v>
      </c>
      <c r="R2" s="9">
        <f>LARGE(B2:M2, 2)</f>
        <v>520</v>
      </c>
      <c r="S2" s="9">
        <f>SMALL(B2:M2, 2)</f>
        <v>430</v>
      </c>
      <c r="T2" s="11" t="str">
        <f>IF(N2 &lt; 4000, "Low Sale", IF(N2 &lt;= 5000, "Medium Sale", "High Sale"))</f>
        <v>High Sale</v>
      </c>
    </row>
    <row r="3" spans="1:21">
      <c r="A3" s="7" t="s">
        <v>14</v>
      </c>
      <c r="B3" s="8">
        <v>550</v>
      </c>
      <c r="C3" s="8">
        <v>540</v>
      </c>
      <c r="D3" s="8">
        <v>560</v>
      </c>
      <c r="E3" s="8">
        <v>580</v>
      </c>
      <c r="F3" s="8">
        <v>570</v>
      </c>
      <c r="G3" s="8">
        <v>590</v>
      </c>
      <c r="H3" s="8">
        <v>610</v>
      </c>
      <c r="I3" s="8">
        <v>600</v>
      </c>
      <c r="J3" s="8">
        <v>620</v>
      </c>
      <c r="K3" s="8">
        <v>630</v>
      </c>
      <c r="L3" s="8">
        <v>640</v>
      </c>
      <c r="M3" s="8">
        <v>650</v>
      </c>
      <c r="N3" s="9">
        <f t="shared" ref="N3:N21" si="0">SUM(B3:M3)</f>
        <v>7140</v>
      </c>
      <c r="O3" s="9">
        <f t="shared" ref="O3:O21" si="1">MAX(B3:M3)</f>
        <v>650</v>
      </c>
      <c r="P3" s="9">
        <f t="shared" ref="P3:P21" si="2">MIN(B3:M3)</f>
        <v>540</v>
      </c>
      <c r="Q3" s="10">
        <f t="shared" ref="Q3:Q21" si="3">AVERAGE(B3:M3)</f>
        <v>595</v>
      </c>
      <c r="R3" s="9">
        <f t="shared" ref="R3:R21" si="4">LARGE(B3:M3, 2)</f>
        <v>640</v>
      </c>
      <c r="S3" s="9">
        <f t="shared" ref="S3:S21" si="5">SMALL(B3:M3, 2)</f>
        <v>550</v>
      </c>
      <c r="T3" s="11" t="str">
        <f t="shared" ref="T3:T21" si="6">IF(N3 &lt; 4000, "Low Sale", IF(N3 &lt;= 5000, "Medium Sale", "High Sale"))</f>
        <v>High Sale</v>
      </c>
    </row>
    <row r="4" spans="1:21">
      <c r="A4" s="7" t="s">
        <v>15</v>
      </c>
      <c r="B4" s="8">
        <v>610</v>
      </c>
      <c r="C4" s="8">
        <v>590</v>
      </c>
      <c r="D4" s="8">
        <v>620</v>
      </c>
      <c r="E4" s="8">
        <v>630</v>
      </c>
      <c r="F4" s="8">
        <v>625</v>
      </c>
      <c r="G4" s="8">
        <v>645</v>
      </c>
      <c r="H4" s="8">
        <v>655</v>
      </c>
      <c r="I4" s="8">
        <v>650</v>
      </c>
      <c r="J4" s="8">
        <v>670</v>
      </c>
      <c r="K4" s="8">
        <v>680</v>
      </c>
      <c r="L4" s="8">
        <v>690</v>
      </c>
      <c r="M4" s="8">
        <v>700</v>
      </c>
      <c r="N4" s="9">
        <f t="shared" si="0"/>
        <v>7765</v>
      </c>
      <c r="O4" s="9">
        <f t="shared" si="1"/>
        <v>700</v>
      </c>
      <c r="P4" s="9">
        <f t="shared" si="2"/>
        <v>590</v>
      </c>
      <c r="Q4" s="10">
        <f t="shared" si="3"/>
        <v>647.08333333333337</v>
      </c>
      <c r="R4" s="9">
        <f t="shared" si="4"/>
        <v>690</v>
      </c>
      <c r="S4" s="9">
        <f t="shared" si="5"/>
        <v>610</v>
      </c>
      <c r="T4" s="11" t="str">
        <f t="shared" si="6"/>
        <v>High Sale</v>
      </c>
    </row>
    <row r="5" spans="1:21">
      <c r="A5" s="7" t="s">
        <v>16</v>
      </c>
      <c r="B5" s="8">
        <v>320</v>
      </c>
      <c r="C5" s="8">
        <v>310</v>
      </c>
      <c r="D5" s="8">
        <v>330</v>
      </c>
      <c r="E5" s="8">
        <v>340</v>
      </c>
      <c r="F5" s="8">
        <v>335</v>
      </c>
      <c r="G5" s="8">
        <v>350</v>
      </c>
      <c r="H5" s="8">
        <v>360</v>
      </c>
      <c r="I5" s="8">
        <v>355</v>
      </c>
      <c r="J5" s="8">
        <v>370</v>
      </c>
      <c r="K5" s="8">
        <v>380</v>
      </c>
      <c r="L5" s="8">
        <v>390</v>
      </c>
      <c r="M5" s="8">
        <v>400</v>
      </c>
      <c r="N5" s="9">
        <f t="shared" si="0"/>
        <v>4240</v>
      </c>
      <c r="O5" s="9">
        <f t="shared" si="1"/>
        <v>400</v>
      </c>
      <c r="P5" s="9">
        <f t="shared" si="2"/>
        <v>310</v>
      </c>
      <c r="Q5" s="10">
        <f t="shared" si="3"/>
        <v>353.33333333333331</v>
      </c>
      <c r="R5" s="9">
        <f t="shared" si="4"/>
        <v>390</v>
      </c>
      <c r="S5" s="9">
        <f t="shared" si="5"/>
        <v>320</v>
      </c>
      <c r="T5" s="11" t="str">
        <f t="shared" si="6"/>
        <v>Medium Sale</v>
      </c>
    </row>
    <row r="6" spans="1:21">
      <c r="A6" s="7" t="s">
        <v>17</v>
      </c>
      <c r="B6" s="8">
        <v>290</v>
      </c>
      <c r="C6" s="8">
        <v>280</v>
      </c>
      <c r="D6" s="8">
        <v>300</v>
      </c>
      <c r="E6" s="8">
        <v>310</v>
      </c>
      <c r="F6" s="8">
        <v>305</v>
      </c>
      <c r="G6" s="8">
        <v>315</v>
      </c>
      <c r="H6" s="8">
        <v>325</v>
      </c>
      <c r="I6" s="8">
        <v>320</v>
      </c>
      <c r="J6" s="8">
        <v>335</v>
      </c>
      <c r="K6" s="8">
        <v>340</v>
      </c>
      <c r="L6" s="8">
        <v>350</v>
      </c>
      <c r="M6" s="8">
        <v>360</v>
      </c>
      <c r="N6" s="9">
        <f t="shared" si="0"/>
        <v>3830</v>
      </c>
      <c r="O6" s="9">
        <f t="shared" si="1"/>
        <v>360</v>
      </c>
      <c r="P6" s="9">
        <f t="shared" si="2"/>
        <v>280</v>
      </c>
      <c r="Q6" s="10">
        <f t="shared" si="3"/>
        <v>319.16666666666669</v>
      </c>
      <c r="R6" s="9">
        <f t="shared" si="4"/>
        <v>350</v>
      </c>
      <c r="S6" s="9">
        <f t="shared" si="5"/>
        <v>290</v>
      </c>
      <c r="T6" s="11" t="str">
        <f t="shared" si="6"/>
        <v>Low Sale</v>
      </c>
    </row>
    <row r="7" spans="1:21">
      <c r="A7" s="7" t="s">
        <v>18</v>
      </c>
      <c r="B7" s="8">
        <v>470</v>
      </c>
      <c r="C7" s="8">
        <v>460</v>
      </c>
      <c r="D7" s="8">
        <v>480</v>
      </c>
      <c r="E7" s="8">
        <v>490</v>
      </c>
      <c r="F7" s="8">
        <v>485</v>
      </c>
      <c r="G7" s="8">
        <v>500</v>
      </c>
      <c r="H7" s="8">
        <v>520</v>
      </c>
      <c r="I7" s="8">
        <v>515</v>
      </c>
      <c r="J7" s="8">
        <v>530</v>
      </c>
      <c r="K7" s="8">
        <v>540</v>
      </c>
      <c r="L7" s="8">
        <v>550</v>
      </c>
      <c r="M7" s="8">
        <v>560</v>
      </c>
      <c r="N7" s="9">
        <f t="shared" si="0"/>
        <v>6100</v>
      </c>
      <c r="O7" s="9">
        <f t="shared" si="1"/>
        <v>560</v>
      </c>
      <c r="P7" s="9">
        <f t="shared" si="2"/>
        <v>460</v>
      </c>
      <c r="Q7" s="10">
        <f t="shared" si="3"/>
        <v>508.33333333333331</v>
      </c>
      <c r="R7" s="9">
        <f t="shared" si="4"/>
        <v>550</v>
      </c>
      <c r="S7" s="9">
        <f t="shared" si="5"/>
        <v>470</v>
      </c>
      <c r="T7" s="11" t="str">
        <f t="shared" si="6"/>
        <v>High Sale</v>
      </c>
    </row>
    <row r="8" spans="1:21">
      <c r="A8" s="7" t="s">
        <v>19</v>
      </c>
      <c r="B8" s="8">
        <v>340</v>
      </c>
      <c r="C8" s="8">
        <v>330</v>
      </c>
      <c r="D8" s="8">
        <v>350</v>
      </c>
      <c r="E8" s="8">
        <v>360</v>
      </c>
      <c r="F8" s="8">
        <v>355</v>
      </c>
      <c r="G8" s="8">
        <v>370</v>
      </c>
      <c r="H8" s="8">
        <v>380</v>
      </c>
      <c r="I8" s="8">
        <v>375</v>
      </c>
      <c r="J8" s="8">
        <v>390</v>
      </c>
      <c r="K8" s="8">
        <v>400</v>
      </c>
      <c r="L8" s="8">
        <v>410</v>
      </c>
      <c r="M8" s="8">
        <v>420</v>
      </c>
      <c r="N8" s="9">
        <f t="shared" si="0"/>
        <v>4480</v>
      </c>
      <c r="O8" s="9">
        <f t="shared" si="1"/>
        <v>420</v>
      </c>
      <c r="P8" s="9">
        <f t="shared" si="2"/>
        <v>330</v>
      </c>
      <c r="Q8" s="10">
        <f t="shared" si="3"/>
        <v>373.33333333333331</v>
      </c>
      <c r="R8" s="9">
        <f t="shared" si="4"/>
        <v>410</v>
      </c>
      <c r="S8" s="9">
        <f t="shared" si="5"/>
        <v>340</v>
      </c>
      <c r="T8" s="11" t="str">
        <f t="shared" si="6"/>
        <v>Medium Sale</v>
      </c>
    </row>
    <row r="9" spans="1:21">
      <c r="A9" s="7" t="s">
        <v>20</v>
      </c>
      <c r="B9" s="8">
        <v>250</v>
      </c>
      <c r="C9" s="8">
        <v>240</v>
      </c>
      <c r="D9" s="8">
        <v>260</v>
      </c>
      <c r="E9" s="8">
        <v>270</v>
      </c>
      <c r="F9" s="8">
        <v>265</v>
      </c>
      <c r="G9" s="8">
        <v>280</v>
      </c>
      <c r="H9" s="8">
        <v>290</v>
      </c>
      <c r="I9" s="8">
        <v>285</v>
      </c>
      <c r="J9" s="8">
        <v>300</v>
      </c>
      <c r="K9" s="8">
        <v>310</v>
      </c>
      <c r="L9" s="8">
        <v>320</v>
      </c>
      <c r="M9" s="8">
        <v>330</v>
      </c>
      <c r="N9" s="9">
        <f t="shared" si="0"/>
        <v>3400</v>
      </c>
      <c r="O9" s="9">
        <f t="shared" si="1"/>
        <v>330</v>
      </c>
      <c r="P9" s="9">
        <f t="shared" si="2"/>
        <v>240</v>
      </c>
      <c r="Q9" s="10">
        <f t="shared" si="3"/>
        <v>283.33333333333331</v>
      </c>
      <c r="R9" s="9">
        <f t="shared" si="4"/>
        <v>320</v>
      </c>
      <c r="S9" s="9">
        <f t="shared" si="5"/>
        <v>250</v>
      </c>
      <c r="T9" s="11" t="str">
        <f t="shared" si="6"/>
        <v>Low Sale</v>
      </c>
    </row>
    <row r="10" spans="1:21">
      <c r="A10" s="7" t="s">
        <v>21</v>
      </c>
      <c r="B10" s="8">
        <v>390</v>
      </c>
      <c r="C10" s="8">
        <v>380</v>
      </c>
      <c r="D10" s="8">
        <v>400</v>
      </c>
      <c r="E10" s="8">
        <v>410</v>
      </c>
      <c r="F10" s="8">
        <v>405</v>
      </c>
      <c r="G10" s="8">
        <v>420</v>
      </c>
      <c r="H10" s="8">
        <v>430</v>
      </c>
      <c r="I10" s="8">
        <v>425</v>
      </c>
      <c r="J10" s="8">
        <v>440</v>
      </c>
      <c r="K10" s="8">
        <v>450</v>
      </c>
      <c r="L10" s="8">
        <v>460</v>
      </c>
      <c r="M10" s="8">
        <v>470</v>
      </c>
      <c r="N10" s="9">
        <f t="shared" si="0"/>
        <v>5080</v>
      </c>
      <c r="O10" s="9">
        <f t="shared" si="1"/>
        <v>470</v>
      </c>
      <c r="P10" s="9">
        <f t="shared" si="2"/>
        <v>380</v>
      </c>
      <c r="Q10" s="10">
        <f t="shared" si="3"/>
        <v>423.33333333333331</v>
      </c>
      <c r="R10" s="9">
        <f t="shared" si="4"/>
        <v>460</v>
      </c>
      <c r="S10" s="9">
        <f t="shared" si="5"/>
        <v>390</v>
      </c>
      <c r="T10" s="11" t="str">
        <f t="shared" si="6"/>
        <v>High Sale</v>
      </c>
    </row>
    <row r="11" spans="1:21">
      <c r="A11" s="7" t="s">
        <v>22</v>
      </c>
      <c r="B11" s="8">
        <v>430</v>
      </c>
      <c r="C11" s="8">
        <v>420</v>
      </c>
      <c r="D11" s="8">
        <v>440</v>
      </c>
      <c r="E11" s="8">
        <v>450</v>
      </c>
      <c r="F11" s="8">
        <v>445</v>
      </c>
      <c r="G11" s="8">
        <v>460</v>
      </c>
      <c r="H11" s="8">
        <v>470</v>
      </c>
      <c r="I11" s="8">
        <v>465</v>
      </c>
      <c r="J11" s="8">
        <v>480</v>
      </c>
      <c r="K11" s="8">
        <v>490</v>
      </c>
      <c r="L11" s="8">
        <v>500</v>
      </c>
      <c r="M11" s="8">
        <v>510</v>
      </c>
      <c r="N11" s="9">
        <f t="shared" si="0"/>
        <v>5560</v>
      </c>
      <c r="O11" s="9">
        <f t="shared" si="1"/>
        <v>510</v>
      </c>
      <c r="P11" s="9">
        <f t="shared" si="2"/>
        <v>420</v>
      </c>
      <c r="Q11" s="10">
        <f t="shared" si="3"/>
        <v>463.33333333333331</v>
      </c>
      <c r="R11" s="9">
        <f t="shared" si="4"/>
        <v>500</v>
      </c>
      <c r="S11" s="9">
        <f t="shared" si="5"/>
        <v>430</v>
      </c>
      <c r="T11" s="11" t="str">
        <f t="shared" si="6"/>
        <v>High Sale</v>
      </c>
    </row>
    <row r="12" spans="1:21">
      <c r="A12" s="7" t="s">
        <v>23</v>
      </c>
      <c r="B12" s="8">
        <v>520</v>
      </c>
      <c r="C12" s="8">
        <v>510</v>
      </c>
      <c r="D12" s="8">
        <v>530</v>
      </c>
      <c r="E12" s="8">
        <v>540</v>
      </c>
      <c r="F12" s="8">
        <v>535</v>
      </c>
      <c r="G12" s="8">
        <v>550</v>
      </c>
      <c r="H12" s="8">
        <v>560</v>
      </c>
      <c r="I12" s="8">
        <v>555</v>
      </c>
      <c r="J12" s="8">
        <v>570</v>
      </c>
      <c r="K12" s="8">
        <v>580</v>
      </c>
      <c r="L12" s="8">
        <v>590</v>
      </c>
      <c r="M12" s="8">
        <v>600</v>
      </c>
      <c r="N12" s="9">
        <f t="shared" si="0"/>
        <v>6640</v>
      </c>
      <c r="O12" s="9">
        <f t="shared" si="1"/>
        <v>600</v>
      </c>
      <c r="P12" s="9">
        <f t="shared" si="2"/>
        <v>510</v>
      </c>
      <c r="Q12" s="10">
        <f t="shared" si="3"/>
        <v>553.33333333333337</v>
      </c>
      <c r="R12" s="9">
        <f t="shared" si="4"/>
        <v>590</v>
      </c>
      <c r="S12" s="9">
        <f t="shared" si="5"/>
        <v>520</v>
      </c>
      <c r="T12" s="11" t="str">
        <f t="shared" si="6"/>
        <v>High Sale</v>
      </c>
    </row>
    <row r="13" spans="1:21">
      <c r="A13" s="7" t="s">
        <v>24</v>
      </c>
      <c r="B13" s="8">
        <v>410</v>
      </c>
      <c r="C13" s="8">
        <v>400</v>
      </c>
      <c r="D13" s="8">
        <v>420</v>
      </c>
      <c r="E13" s="8">
        <v>430</v>
      </c>
      <c r="F13" s="8">
        <v>425</v>
      </c>
      <c r="G13" s="8">
        <v>440</v>
      </c>
      <c r="H13" s="8">
        <v>450</v>
      </c>
      <c r="I13" s="8">
        <v>445</v>
      </c>
      <c r="J13" s="8">
        <v>460</v>
      </c>
      <c r="K13" s="8">
        <v>470</v>
      </c>
      <c r="L13" s="8">
        <v>480</v>
      </c>
      <c r="M13" s="8">
        <v>490</v>
      </c>
      <c r="N13" s="9">
        <f t="shared" si="0"/>
        <v>5320</v>
      </c>
      <c r="O13" s="9">
        <f t="shared" si="1"/>
        <v>490</v>
      </c>
      <c r="P13" s="9">
        <f t="shared" si="2"/>
        <v>400</v>
      </c>
      <c r="Q13" s="10">
        <f t="shared" si="3"/>
        <v>443.33333333333331</v>
      </c>
      <c r="R13" s="9">
        <f t="shared" si="4"/>
        <v>480</v>
      </c>
      <c r="S13" s="9">
        <f t="shared" si="5"/>
        <v>410</v>
      </c>
      <c r="T13" s="11" t="str">
        <f t="shared" si="6"/>
        <v>High Sale</v>
      </c>
    </row>
    <row r="14" spans="1:21">
      <c r="A14" s="7" t="s">
        <v>25</v>
      </c>
      <c r="B14" s="8">
        <v>340</v>
      </c>
      <c r="C14" s="8">
        <v>330</v>
      </c>
      <c r="D14" s="8">
        <v>350</v>
      </c>
      <c r="E14" s="8">
        <v>360</v>
      </c>
      <c r="F14" s="8">
        <v>355</v>
      </c>
      <c r="G14" s="8">
        <v>370</v>
      </c>
      <c r="H14" s="8">
        <v>380</v>
      </c>
      <c r="I14" s="8">
        <v>375</v>
      </c>
      <c r="J14" s="8">
        <v>390</v>
      </c>
      <c r="K14" s="8">
        <v>400</v>
      </c>
      <c r="L14" s="8">
        <v>410</v>
      </c>
      <c r="M14" s="8">
        <v>420</v>
      </c>
      <c r="N14" s="9">
        <f t="shared" si="0"/>
        <v>4480</v>
      </c>
      <c r="O14" s="9">
        <f t="shared" si="1"/>
        <v>420</v>
      </c>
      <c r="P14" s="9">
        <f t="shared" si="2"/>
        <v>330</v>
      </c>
      <c r="Q14" s="10">
        <f t="shared" si="3"/>
        <v>373.33333333333331</v>
      </c>
      <c r="R14" s="9">
        <f t="shared" si="4"/>
        <v>410</v>
      </c>
      <c r="S14" s="9">
        <f t="shared" si="5"/>
        <v>340</v>
      </c>
      <c r="T14" s="11" t="str">
        <f t="shared" si="6"/>
        <v>Medium Sale</v>
      </c>
    </row>
    <row r="15" spans="1:21">
      <c r="A15" s="7" t="s">
        <v>26</v>
      </c>
      <c r="B15" s="8">
        <v>230</v>
      </c>
      <c r="C15" s="8">
        <v>220</v>
      </c>
      <c r="D15" s="8">
        <v>240</v>
      </c>
      <c r="E15" s="8">
        <v>250</v>
      </c>
      <c r="F15" s="8">
        <v>245</v>
      </c>
      <c r="G15" s="8">
        <v>260</v>
      </c>
      <c r="H15" s="8">
        <v>270</v>
      </c>
      <c r="I15" s="8">
        <v>265</v>
      </c>
      <c r="J15" s="8">
        <v>280</v>
      </c>
      <c r="K15" s="8">
        <v>290</v>
      </c>
      <c r="L15" s="8">
        <v>300</v>
      </c>
      <c r="M15" s="8">
        <v>310</v>
      </c>
      <c r="N15" s="9">
        <f t="shared" si="0"/>
        <v>3160</v>
      </c>
      <c r="O15" s="9">
        <f t="shared" si="1"/>
        <v>310</v>
      </c>
      <c r="P15" s="9">
        <f t="shared" si="2"/>
        <v>220</v>
      </c>
      <c r="Q15" s="10">
        <f t="shared" si="3"/>
        <v>263.33333333333331</v>
      </c>
      <c r="R15" s="9">
        <f t="shared" si="4"/>
        <v>300</v>
      </c>
      <c r="S15" s="9">
        <f t="shared" si="5"/>
        <v>230</v>
      </c>
      <c r="T15" s="11" t="str">
        <f t="shared" si="6"/>
        <v>Low Sale</v>
      </c>
    </row>
    <row r="16" spans="1:21">
      <c r="A16" s="7" t="s">
        <v>27</v>
      </c>
      <c r="B16" s="8">
        <v>320</v>
      </c>
      <c r="C16" s="8">
        <v>310</v>
      </c>
      <c r="D16" s="8">
        <v>330</v>
      </c>
      <c r="E16" s="8">
        <v>340</v>
      </c>
      <c r="F16" s="8">
        <v>335</v>
      </c>
      <c r="G16" s="8">
        <v>350</v>
      </c>
      <c r="H16" s="8">
        <v>360</v>
      </c>
      <c r="I16" s="8">
        <v>355</v>
      </c>
      <c r="J16" s="8">
        <v>370</v>
      </c>
      <c r="K16" s="8">
        <v>380</v>
      </c>
      <c r="L16" s="8">
        <v>390</v>
      </c>
      <c r="M16" s="8">
        <v>400</v>
      </c>
      <c r="N16" s="9">
        <f t="shared" si="0"/>
        <v>4240</v>
      </c>
      <c r="O16" s="9">
        <f t="shared" si="1"/>
        <v>400</v>
      </c>
      <c r="P16" s="9">
        <f t="shared" si="2"/>
        <v>310</v>
      </c>
      <c r="Q16" s="10">
        <f t="shared" si="3"/>
        <v>353.33333333333331</v>
      </c>
      <c r="R16" s="9">
        <f t="shared" si="4"/>
        <v>390</v>
      </c>
      <c r="S16" s="9">
        <f t="shared" si="5"/>
        <v>320</v>
      </c>
      <c r="T16" s="11" t="str">
        <f t="shared" si="6"/>
        <v>Medium Sale</v>
      </c>
    </row>
    <row r="17" spans="1:20">
      <c r="A17" s="7" t="s">
        <v>28</v>
      </c>
      <c r="B17" s="8">
        <v>280</v>
      </c>
      <c r="C17" s="8">
        <v>270</v>
      </c>
      <c r="D17" s="8">
        <v>290</v>
      </c>
      <c r="E17" s="8">
        <v>300</v>
      </c>
      <c r="F17" s="8">
        <v>295</v>
      </c>
      <c r="G17" s="8">
        <v>310</v>
      </c>
      <c r="H17" s="8">
        <v>320</v>
      </c>
      <c r="I17" s="8">
        <v>315</v>
      </c>
      <c r="J17" s="8">
        <v>330</v>
      </c>
      <c r="K17" s="8">
        <v>340</v>
      </c>
      <c r="L17" s="8">
        <v>350</v>
      </c>
      <c r="M17" s="8">
        <v>360</v>
      </c>
      <c r="N17" s="9">
        <f t="shared" si="0"/>
        <v>3760</v>
      </c>
      <c r="O17" s="9">
        <f t="shared" si="1"/>
        <v>360</v>
      </c>
      <c r="P17" s="9">
        <f t="shared" si="2"/>
        <v>270</v>
      </c>
      <c r="Q17" s="10">
        <f t="shared" si="3"/>
        <v>313.33333333333331</v>
      </c>
      <c r="R17" s="9">
        <f t="shared" si="4"/>
        <v>350</v>
      </c>
      <c r="S17" s="9">
        <f t="shared" si="5"/>
        <v>280</v>
      </c>
      <c r="T17" s="11" t="str">
        <f t="shared" si="6"/>
        <v>Low Sale</v>
      </c>
    </row>
    <row r="18" spans="1:20">
      <c r="A18" s="7" t="s">
        <v>29</v>
      </c>
      <c r="B18" s="8">
        <v>510</v>
      </c>
      <c r="C18" s="8">
        <v>500</v>
      </c>
      <c r="D18" s="8">
        <v>520</v>
      </c>
      <c r="E18" s="8">
        <v>530</v>
      </c>
      <c r="F18" s="8">
        <v>525</v>
      </c>
      <c r="G18" s="8">
        <v>540</v>
      </c>
      <c r="H18" s="8">
        <v>550</v>
      </c>
      <c r="I18" s="8">
        <v>545</v>
      </c>
      <c r="J18" s="8">
        <v>560</v>
      </c>
      <c r="K18" s="8">
        <v>570</v>
      </c>
      <c r="L18" s="8">
        <v>580</v>
      </c>
      <c r="M18" s="8">
        <v>590</v>
      </c>
      <c r="N18" s="9">
        <f t="shared" si="0"/>
        <v>6520</v>
      </c>
      <c r="O18" s="9">
        <f t="shared" si="1"/>
        <v>590</v>
      </c>
      <c r="P18" s="9">
        <f t="shared" si="2"/>
        <v>500</v>
      </c>
      <c r="Q18" s="10">
        <f t="shared" si="3"/>
        <v>543.33333333333337</v>
      </c>
      <c r="R18" s="9">
        <f t="shared" si="4"/>
        <v>580</v>
      </c>
      <c r="S18" s="9">
        <f t="shared" si="5"/>
        <v>510</v>
      </c>
      <c r="T18" s="11" t="str">
        <f t="shared" si="6"/>
        <v>High Sale</v>
      </c>
    </row>
    <row r="19" spans="1:20">
      <c r="A19" s="7" t="s">
        <v>30</v>
      </c>
      <c r="B19" s="8">
        <v>270</v>
      </c>
      <c r="C19" s="8">
        <v>260</v>
      </c>
      <c r="D19" s="8">
        <v>280</v>
      </c>
      <c r="E19" s="8">
        <v>290</v>
      </c>
      <c r="F19" s="8">
        <v>285</v>
      </c>
      <c r="G19" s="8">
        <v>300</v>
      </c>
      <c r="H19" s="8">
        <v>310</v>
      </c>
      <c r="I19" s="8">
        <v>305</v>
      </c>
      <c r="J19" s="8">
        <v>320</v>
      </c>
      <c r="K19" s="8">
        <v>330</v>
      </c>
      <c r="L19" s="8">
        <v>340</v>
      </c>
      <c r="M19" s="8">
        <v>350</v>
      </c>
      <c r="N19" s="9">
        <f t="shared" si="0"/>
        <v>3640</v>
      </c>
      <c r="O19" s="9">
        <f t="shared" si="1"/>
        <v>350</v>
      </c>
      <c r="P19" s="9">
        <f t="shared" si="2"/>
        <v>260</v>
      </c>
      <c r="Q19" s="10">
        <f t="shared" si="3"/>
        <v>303.33333333333331</v>
      </c>
      <c r="R19" s="9">
        <f t="shared" si="4"/>
        <v>340</v>
      </c>
      <c r="S19" s="9">
        <f t="shared" si="5"/>
        <v>270</v>
      </c>
      <c r="T19" s="11" t="str">
        <f t="shared" si="6"/>
        <v>Low Sale</v>
      </c>
    </row>
    <row r="20" spans="1:20">
      <c r="A20" s="7" t="s">
        <v>31</v>
      </c>
      <c r="B20" s="8">
        <v>240</v>
      </c>
      <c r="C20" s="8">
        <v>230</v>
      </c>
      <c r="D20" s="8">
        <v>250</v>
      </c>
      <c r="E20" s="8">
        <v>260</v>
      </c>
      <c r="F20" s="8">
        <v>255</v>
      </c>
      <c r="G20" s="8">
        <v>270</v>
      </c>
      <c r="H20" s="8">
        <v>280</v>
      </c>
      <c r="I20" s="8">
        <v>275</v>
      </c>
      <c r="J20" s="8">
        <v>290</v>
      </c>
      <c r="K20" s="8">
        <v>300</v>
      </c>
      <c r="L20" s="8">
        <v>310</v>
      </c>
      <c r="M20" s="8">
        <v>320</v>
      </c>
      <c r="N20" s="9">
        <f t="shared" si="0"/>
        <v>3280</v>
      </c>
      <c r="O20" s="9">
        <f t="shared" si="1"/>
        <v>320</v>
      </c>
      <c r="P20" s="9">
        <f t="shared" si="2"/>
        <v>230</v>
      </c>
      <c r="Q20" s="10">
        <f t="shared" si="3"/>
        <v>273.33333333333331</v>
      </c>
      <c r="R20" s="9">
        <f t="shared" si="4"/>
        <v>310</v>
      </c>
      <c r="S20" s="9">
        <f t="shared" si="5"/>
        <v>240</v>
      </c>
      <c r="T20" s="11" t="str">
        <f t="shared" si="6"/>
        <v>Low Sale</v>
      </c>
    </row>
    <row r="21" spans="1:20">
      <c r="A21" s="12" t="s">
        <v>32</v>
      </c>
      <c r="B21" s="13">
        <v>290</v>
      </c>
      <c r="C21" s="13">
        <v>280</v>
      </c>
      <c r="D21" s="13">
        <v>300</v>
      </c>
      <c r="E21" s="13">
        <v>310</v>
      </c>
      <c r="F21" s="13">
        <v>305</v>
      </c>
      <c r="G21" s="13">
        <v>320</v>
      </c>
      <c r="H21" s="13">
        <v>330</v>
      </c>
      <c r="I21" s="13">
        <v>325</v>
      </c>
      <c r="J21" s="13">
        <v>340</v>
      </c>
      <c r="K21" s="13">
        <v>350</v>
      </c>
      <c r="L21" s="13">
        <v>360</v>
      </c>
      <c r="M21" s="13">
        <v>370</v>
      </c>
      <c r="N21" s="14">
        <f t="shared" si="0"/>
        <v>3880</v>
      </c>
      <c r="O21" s="14">
        <f t="shared" si="1"/>
        <v>370</v>
      </c>
      <c r="P21" s="14">
        <f t="shared" si="2"/>
        <v>280</v>
      </c>
      <c r="Q21" s="15">
        <f t="shared" si="3"/>
        <v>323.33333333333331</v>
      </c>
      <c r="R21" s="14">
        <f t="shared" si="4"/>
        <v>360</v>
      </c>
      <c r="S21" s="14">
        <f t="shared" si="5"/>
        <v>290</v>
      </c>
      <c r="T21" s="16" t="str">
        <f t="shared" si="6"/>
        <v>Low Sale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8F0E8-E55D-42D0-AD7B-9AE649FFB4B1}">
  <sheetPr codeName="Sheet9"/>
  <dimension ref="A1:H22"/>
  <sheetViews>
    <sheetView workbookViewId="0"/>
  </sheetViews>
  <sheetFormatPr defaultRowHeight="13.8"/>
  <cols>
    <col min="1" max="2" width="9.88671875" bestFit="1" customWidth="1"/>
    <col min="3" max="3" width="6.88671875" bestFit="1" customWidth="1"/>
    <col min="4" max="4" width="9.21875" bestFit="1" customWidth="1"/>
    <col min="5" max="5" width="18" bestFit="1" customWidth="1"/>
    <col min="6" max="6" width="11" bestFit="1" customWidth="1"/>
    <col min="7" max="7" width="11.88671875" bestFit="1" customWidth="1"/>
    <col min="8" max="8" width="12.33203125" customWidth="1"/>
  </cols>
  <sheetData>
    <row r="1" spans="1:8">
      <c r="A1" s="1" t="s">
        <v>175</v>
      </c>
      <c r="B1" s="1" t="s">
        <v>176</v>
      </c>
      <c r="C1" s="1" t="s">
        <v>177</v>
      </c>
      <c r="D1" s="1" t="s">
        <v>178</v>
      </c>
      <c r="E1" s="1" t="s">
        <v>185</v>
      </c>
      <c r="F1" s="1" t="s">
        <v>186</v>
      </c>
      <c r="G1" s="1" t="s">
        <v>187</v>
      </c>
      <c r="H1" s="1" t="s">
        <v>226</v>
      </c>
    </row>
    <row r="2" spans="1:8">
      <c r="A2" s="2" t="s">
        <v>188</v>
      </c>
      <c r="B2" s="2" t="s">
        <v>189</v>
      </c>
      <c r="C2" s="2" t="s">
        <v>181</v>
      </c>
      <c r="D2" s="23">
        <v>580000</v>
      </c>
      <c r="E2" t="str">
        <f>IF(C2="Male", "Mr. ", "Ms. ") &amp; PROPER(A2 &amp; " " &amp; B2)</f>
        <v>Ms. Ashley Wilkins</v>
      </c>
      <c r="F2">
        <f>D2 / 100000</f>
        <v>5.8</v>
      </c>
      <c r="G2">
        <f>IF(C2="Male", 1, 2)</f>
        <v>2</v>
      </c>
      <c r="H2" t="str">
        <f>IF(D2 &lt; 6000000, "Low", IF(D2 &lt; 8000000, "Medium", "High"))</f>
        <v>Low</v>
      </c>
    </row>
    <row r="3" spans="1:8">
      <c r="A3" s="2" t="s">
        <v>190</v>
      </c>
      <c r="B3" s="2" t="s">
        <v>191</v>
      </c>
      <c r="C3" s="2" t="s">
        <v>179</v>
      </c>
      <c r="D3" s="23">
        <v>9250000</v>
      </c>
      <c r="E3" t="str">
        <f t="shared" ref="E3:E21" si="0">IF(C3="Male", "Mr. ", "Ms. ") &amp; PROPER(A3 &amp; " " &amp; B3)</f>
        <v>Mr. Ronald Macdonald</v>
      </c>
      <c r="F3">
        <f t="shared" ref="F3:F21" si="1">D3 / 100000</f>
        <v>92.5</v>
      </c>
      <c r="G3">
        <f t="shared" ref="G3:G21" si="2">IF(C3="Male", 1, 2)</f>
        <v>1</v>
      </c>
      <c r="H3" t="str">
        <f t="shared" ref="H3:H22" si="3">IF(D3 &lt; 6000000, "Low", IF(D3 &lt; 8000000, "Medium", "High"))</f>
        <v>High</v>
      </c>
    </row>
    <row r="4" spans="1:8">
      <c r="A4" s="2" t="s">
        <v>192</v>
      </c>
      <c r="B4" s="2" t="s">
        <v>182</v>
      </c>
      <c r="C4" s="2" t="s">
        <v>179</v>
      </c>
      <c r="D4" s="23">
        <v>6745000</v>
      </c>
      <c r="E4" t="str">
        <f t="shared" si="0"/>
        <v>Mr. Charlie Johnson</v>
      </c>
      <c r="F4">
        <f t="shared" si="1"/>
        <v>67.45</v>
      </c>
      <c r="G4">
        <f t="shared" si="2"/>
        <v>1</v>
      </c>
      <c r="H4" t="str">
        <f t="shared" si="3"/>
        <v>Medium</v>
      </c>
    </row>
    <row r="5" spans="1:8">
      <c r="A5" s="2" t="s">
        <v>193</v>
      </c>
      <c r="B5" s="2" t="s">
        <v>180</v>
      </c>
      <c r="C5" s="2" t="s">
        <v>181</v>
      </c>
      <c r="D5" s="23">
        <v>7500000</v>
      </c>
      <c r="E5" t="str">
        <f t="shared" si="0"/>
        <v>Ms. Madison Smith</v>
      </c>
      <c r="F5">
        <f t="shared" si="1"/>
        <v>75</v>
      </c>
      <c r="G5">
        <f t="shared" si="2"/>
        <v>2</v>
      </c>
      <c r="H5" t="str">
        <f t="shared" si="3"/>
        <v>Medium</v>
      </c>
    </row>
    <row r="6" spans="1:8">
      <c r="A6" s="2" t="s">
        <v>194</v>
      </c>
      <c r="B6" s="2" t="s">
        <v>183</v>
      </c>
      <c r="C6" s="2" t="s">
        <v>179</v>
      </c>
      <c r="D6" s="23">
        <v>5420000</v>
      </c>
      <c r="E6" t="str">
        <f t="shared" si="0"/>
        <v>Mr. Nathan Brown</v>
      </c>
      <c r="F6">
        <f t="shared" si="1"/>
        <v>54.2</v>
      </c>
      <c r="G6">
        <f t="shared" si="2"/>
        <v>1</v>
      </c>
      <c r="H6" t="str">
        <f t="shared" si="3"/>
        <v>Low</v>
      </c>
    </row>
    <row r="7" spans="1:8">
      <c r="A7" s="2" t="s">
        <v>195</v>
      </c>
      <c r="B7" s="2" t="s">
        <v>196</v>
      </c>
      <c r="C7" s="2" t="s">
        <v>181</v>
      </c>
      <c r="D7" s="23">
        <v>8990000</v>
      </c>
      <c r="E7" t="str">
        <f t="shared" si="0"/>
        <v>Ms. Kim Taylor</v>
      </c>
      <c r="F7">
        <f t="shared" si="1"/>
        <v>89.9</v>
      </c>
      <c r="G7">
        <f t="shared" si="2"/>
        <v>2</v>
      </c>
      <c r="H7" t="str">
        <f t="shared" si="3"/>
        <v>High</v>
      </c>
    </row>
    <row r="8" spans="1:8">
      <c r="A8" s="2" t="s">
        <v>197</v>
      </c>
      <c r="B8" s="2" t="s">
        <v>198</v>
      </c>
      <c r="C8" s="2" t="s">
        <v>181</v>
      </c>
      <c r="D8" s="23">
        <v>7230000</v>
      </c>
      <c r="E8" t="str">
        <f t="shared" si="0"/>
        <v>Ms. Sophia Perry</v>
      </c>
      <c r="F8">
        <f t="shared" si="1"/>
        <v>72.3</v>
      </c>
      <c r="G8">
        <f t="shared" si="2"/>
        <v>2</v>
      </c>
      <c r="H8" t="str">
        <f t="shared" si="3"/>
        <v>Medium</v>
      </c>
    </row>
    <row r="9" spans="1:8">
      <c r="A9" s="2" t="s">
        <v>199</v>
      </c>
      <c r="B9" s="2" t="s">
        <v>200</v>
      </c>
      <c r="C9" s="2" t="s">
        <v>179</v>
      </c>
      <c r="D9" s="23">
        <v>6380000</v>
      </c>
      <c r="E9" t="str">
        <f t="shared" si="0"/>
        <v>Mr. Thomas Watson</v>
      </c>
      <c r="F9">
        <f t="shared" si="1"/>
        <v>63.8</v>
      </c>
      <c r="G9">
        <f t="shared" si="2"/>
        <v>1</v>
      </c>
      <c r="H9" t="str">
        <f t="shared" si="3"/>
        <v>Medium</v>
      </c>
    </row>
    <row r="10" spans="1:8">
      <c r="A10" s="2" t="s">
        <v>201</v>
      </c>
      <c r="B10" s="2" t="s">
        <v>202</v>
      </c>
      <c r="C10" s="2" t="s">
        <v>181</v>
      </c>
      <c r="D10" s="23">
        <v>525000</v>
      </c>
      <c r="E10" t="str">
        <f t="shared" si="0"/>
        <v>Ms. Emma Jones</v>
      </c>
      <c r="F10">
        <f t="shared" si="1"/>
        <v>5.25</v>
      </c>
      <c r="G10">
        <f t="shared" si="2"/>
        <v>2</v>
      </c>
      <c r="H10" t="str">
        <f t="shared" si="3"/>
        <v>Low</v>
      </c>
    </row>
    <row r="11" spans="1:8">
      <c r="A11" s="2" t="s">
        <v>203</v>
      </c>
      <c r="B11" s="2" t="s">
        <v>204</v>
      </c>
      <c r="C11" s="2" t="s">
        <v>181</v>
      </c>
      <c r="D11" s="23">
        <v>8110000</v>
      </c>
      <c r="E11" t="str">
        <f t="shared" si="0"/>
        <v>Ms. Olivia Sanders</v>
      </c>
      <c r="F11">
        <f t="shared" si="1"/>
        <v>81.099999999999994</v>
      </c>
      <c r="G11">
        <f t="shared" si="2"/>
        <v>2</v>
      </c>
      <c r="H11" t="str">
        <f t="shared" si="3"/>
        <v>High</v>
      </c>
    </row>
    <row r="12" spans="1:8">
      <c r="A12" s="2" t="s">
        <v>205</v>
      </c>
      <c r="B12" s="2" t="s">
        <v>206</v>
      </c>
      <c r="C12" s="2" t="s">
        <v>179</v>
      </c>
      <c r="D12" s="23">
        <v>9640000</v>
      </c>
      <c r="E12" t="str">
        <f t="shared" si="0"/>
        <v>Mr. David Clark</v>
      </c>
      <c r="F12">
        <f t="shared" si="1"/>
        <v>96.4</v>
      </c>
      <c r="G12">
        <f t="shared" si="2"/>
        <v>1</v>
      </c>
      <c r="H12" t="str">
        <f t="shared" si="3"/>
        <v>High</v>
      </c>
    </row>
    <row r="13" spans="1:8">
      <c r="A13" s="2" t="s">
        <v>207</v>
      </c>
      <c r="B13" s="2" t="s">
        <v>208</v>
      </c>
      <c r="C13" s="2" t="s">
        <v>181</v>
      </c>
      <c r="D13" s="23">
        <v>550000</v>
      </c>
      <c r="E13" t="str">
        <f t="shared" si="0"/>
        <v>Ms. Alice Harrington</v>
      </c>
      <c r="F13">
        <f t="shared" si="1"/>
        <v>5.5</v>
      </c>
      <c r="G13">
        <f t="shared" si="2"/>
        <v>2</v>
      </c>
      <c r="H13" t="str">
        <f t="shared" si="3"/>
        <v>Low</v>
      </c>
    </row>
    <row r="14" spans="1:8">
      <c r="A14" s="2" t="s">
        <v>209</v>
      </c>
      <c r="B14" s="2" t="s">
        <v>210</v>
      </c>
      <c r="C14" s="2" t="s">
        <v>179</v>
      </c>
      <c r="D14" s="23">
        <v>7960000</v>
      </c>
      <c r="E14" t="str">
        <f t="shared" si="0"/>
        <v>Mr. Sam Miller</v>
      </c>
      <c r="F14">
        <f t="shared" si="1"/>
        <v>79.599999999999994</v>
      </c>
      <c r="G14">
        <f t="shared" si="2"/>
        <v>1</v>
      </c>
      <c r="H14" t="str">
        <f t="shared" si="3"/>
        <v>Medium</v>
      </c>
    </row>
    <row r="15" spans="1:8">
      <c r="A15" s="2" t="s">
        <v>211</v>
      </c>
      <c r="B15" s="2" t="s">
        <v>212</v>
      </c>
      <c r="C15" s="2" t="s">
        <v>181</v>
      </c>
      <c r="D15" s="23">
        <v>6880000</v>
      </c>
      <c r="E15" t="str">
        <f t="shared" si="0"/>
        <v>Ms. Isabel Rogers</v>
      </c>
      <c r="F15">
        <f t="shared" si="1"/>
        <v>68.8</v>
      </c>
      <c r="G15">
        <f t="shared" si="2"/>
        <v>2</v>
      </c>
      <c r="H15" t="str">
        <f t="shared" si="3"/>
        <v>Medium</v>
      </c>
    </row>
    <row r="16" spans="1:8">
      <c r="A16" s="2" t="s">
        <v>184</v>
      </c>
      <c r="B16" s="2" t="s">
        <v>213</v>
      </c>
      <c r="C16" s="2" t="s">
        <v>179</v>
      </c>
      <c r="D16" s="23">
        <v>5800000</v>
      </c>
      <c r="E16" t="str">
        <f t="shared" si="0"/>
        <v>Mr. James Black</v>
      </c>
      <c r="F16">
        <f t="shared" si="1"/>
        <v>58</v>
      </c>
      <c r="G16">
        <f t="shared" si="2"/>
        <v>1</v>
      </c>
      <c r="H16" t="str">
        <f t="shared" si="3"/>
        <v>Low</v>
      </c>
    </row>
    <row r="17" spans="1:8">
      <c r="A17" s="2" t="s">
        <v>214</v>
      </c>
      <c r="B17" s="2" t="s">
        <v>215</v>
      </c>
      <c r="C17" s="2" t="s">
        <v>181</v>
      </c>
      <c r="D17" s="23">
        <v>620000</v>
      </c>
      <c r="E17" t="str">
        <f t="shared" si="0"/>
        <v>Ms. Julia Moore</v>
      </c>
      <c r="F17">
        <f t="shared" si="1"/>
        <v>6.2</v>
      </c>
      <c r="G17">
        <f t="shared" si="2"/>
        <v>2</v>
      </c>
      <c r="H17" t="str">
        <f t="shared" si="3"/>
        <v>Low</v>
      </c>
    </row>
    <row r="18" spans="1:8">
      <c r="A18" s="2" t="s">
        <v>216</v>
      </c>
      <c r="B18" s="2" t="s">
        <v>217</v>
      </c>
      <c r="C18" s="2" t="s">
        <v>179</v>
      </c>
      <c r="D18" s="23">
        <v>9470000</v>
      </c>
      <c r="E18" t="str">
        <f t="shared" si="0"/>
        <v>Mr. Noah Hall</v>
      </c>
      <c r="F18">
        <f t="shared" si="1"/>
        <v>94.7</v>
      </c>
      <c r="G18">
        <f t="shared" si="2"/>
        <v>1</v>
      </c>
      <c r="H18" t="str">
        <f t="shared" si="3"/>
        <v>High</v>
      </c>
    </row>
    <row r="19" spans="1:8">
      <c r="A19" s="2" t="s">
        <v>218</v>
      </c>
      <c r="B19" s="2" t="s">
        <v>219</v>
      </c>
      <c r="C19" s="2" t="s">
        <v>181</v>
      </c>
      <c r="D19" s="23">
        <v>590000</v>
      </c>
      <c r="E19" t="str">
        <f t="shared" si="0"/>
        <v>Ms. Leah Anderson</v>
      </c>
      <c r="F19">
        <f t="shared" si="1"/>
        <v>5.9</v>
      </c>
      <c r="G19">
        <f t="shared" si="2"/>
        <v>2</v>
      </c>
      <c r="H19" t="str">
        <f t="shared" si="3"/>
        <v>Low</v>
      </c>
    </row>
    <row r="20" spans="1:8">
      <c r="A20" s="2" t="s">
        <v>220</v>
      </c>
      <c r="B20" s="2" t="s">
        <v>221</v>
      </c>
      <c r="C20" s="2" t="s">
        <v>179</v>
      </c>
      <c r="D20" s="23">
        <v>8800000</v>
      </c>
      <c r="E20" t="str">
        <f t="shared" si="0"/>
        <v>Mr. Connor James</v>
      </c>
      <c r="F20">
        <f t="shared" si="1"/>
        <v>88</v>
      </c>
      <c r="G20">
        <f t="shared" si="2"/>
        <v>1</v>
      </c>
      <c r="H20" t="str">
        <f t="shared" si="3"/>
        <v>High</v>
      </c>
    </row>
    <row r="21" spans="1:8">
      <c r="A21" s="2" t="s">
        <v>222</v>
      </c>
      <c r="B21" s="2" t="s">
        <v>223</v>
      </c>
      <c r="C21" s="2" t="s">
        <v>181</v>
      </c>
      <c r="D21" s="23">
        <v>6230000</v>
      </c>
      <c r="E21" t="str">
        <f t="shared" si="0"/>
        <v>Ms. Zoe Henry</v>
      </c>
      <c r="F21">
        <f t="shared" si="1"/>
        <v>62.3</v>
      </c>
      <c r="G21">
        <f t="shared" si="2"/>
        <v>2</v>
      </c>
      <c r="H21" t="str">
        <f t="shared" si="3"/>
        <v>Medium</v>
      </c>
    </row>
    <row r="22" spans="1:8">
      <c r="A22" s="2" t="s">
        <v>224</v>
      </c>
      <c r="B22" s="2" t="s">
        <v>225</v>
      </c>
      <c r="C22" s="2" t="s">
        <v>179</v>
      </c>
      <c r="D22" s="23">
        <v>7750000</v>
      </c>
      <c r="E22" t="str">
        <f>IF(C22="Male", "Mr. ", "Ms. ") &amp; PROPER(A22 &amp; " " &amp; B22)</f>
        <v>Mr. Eli Martin</v>
      </c>
      <c r="F22">
        <f>D22 / 100000</f>
        <v>77.5</v>
      </c>
      <c r="G22">
        <f>IF(C22="Male", 1, 2)</f>
        <v>1</v>
      </c>
      <c r="H22" t="str">
        <f t="shared" si="3"/>
        <v>Medium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902CB-F2CD-458B-BD07-30ED5BD1B98C}">
  <sheetPr codeName="Sheet8"/>
  <dimension ref="A1:Q11"/>
  <sheetViews>
    <sheetView workbookViewId="0"/>
  </sheetViews>
  <sheetFormatPr defaultRowHeight="13.8"/>
  <cols>
    <col min="1" max="1" width="12.77734375" bestFit="1" customWidth="1"/>
    <col min="10" max="10" width="10.109375" customWidth="1"/>
    <col min="12" max="13" width="9.33203125" bestFit="1" customWidth="1"/>
    <col min="16" max="16" width="12.33203125" bestFit="1" customWidth="1"/>
    <col min="17" max="17" width="10" customWidth="1"/>
  </cols>
  <sheetData>
    <row r="1" spans="1:17">
      <c r="A1" s="1" t="s">
        <v>148</v>
      </c>
      <c r="B1" s="1" t="s">
        <v>149</v>
      </c>
      <c r="C1" s="1" t="s">
        <v>150</v>
      </c>
      <c r="D1" s="1" t="s">
        <v>151</v>
      </c>
      <c r="E1" s="1" t="s">
        <v>152</v>
      </c>
      <c r="F1" s="1" t="s">
        <v>5</v>
      </c>
      <c r="G1" s="1" t="s">
        <v>153</v>
      </c>
      <c r="H1" s="1" t="s">
        <v>154</v>
      </c>
      <c r="I1" s="1" t="s">
        <v>155</v>
      </c>
      <c r="J1" s="1" t="s">
        <v>156</v>
      </c>
      <c r="K1" s="1" t="s">
        <v>157</v>
      </c>
      <c r="L1" s="1" t="s">
        <v>158</v>
      </c>
      <c r="M1" s="1" t="s">
        <v>159</v>
      </c>
    </row>
    <row r="2" spans="1:17">
      <c r="A2" s="2" t="s">
        <v>160</v>
      </c>
      <c r="B2" s="2">
        <v>500</v>
      </c>
      <c r="C2" s="2">
        <v>450</v>
      </c>
      <c r="D2" s="2">
        <v>600</v>
      </c>
      <c r="E2" s="2">
        <v>700</v>
      </c>
      <c r="F2" s="2">
        <v>750</v>
      </c>
      <c r="G2" s="2">
        <v>800</v>
      </c>
      <c r="H2" s="2">
        <v>650</v>
      </c>
      <c r="I2" s="2">
        <v>700</v>
      </c>
      <c r="J2" s="2">
        <v>720</v>
      </c>
      <c r="K2" s="2">
        <v>680</v>
      </c>
      <c r="L2" s="2">
        <v>600</v>
      </c>
      <c r="M2" s="2">
        <v>750</v>
      </c>
      <c r="P2" s="17" t="s">
        <v>170</v>
      </c>
      <c r="Q2" t="s">
        <v>161</v>
      </c>
    </row>
    <row r="3" spans="1:17">
      <c r="A3" s="2" t="s">
        <v>161</v>
      </c>
      <c r="B3" s="2">
        <v>3000</v>
      </c>
      <c r="C3" s="2">
        <v>2800</v>
      </c>
      <c r="D3" s="2">
        <v>3200</v>
      </c>
      <c r="E3" s="2">
        <v>3500</v>
      </c>
      <c r="F3" s="2">
        <v>3600</v>
      </c>
      <c r="G3" s="2">
        <v>3700</v>
      </c>
      <c r="H3" s="2">
        <v>3400</v>
      </c>
      <c r="I3" s="2">
        <v>3500</v>
      </c>
      <c r="J3" s="2">
        <v>3600</v>
      </c>
      <c r="K3" s="2">
        <v>3500</v>
      </c>
      <c r="L3" s="2">
        <v>3300</v>
      </c>
      <c r="M3" s="2">
        <v>4000</v>
      </c>
      <c r="P3" s="18" t="s">
        <v>171</v>
      </c>
      <c r="Q3" t="s">
        <v>155</v>
      </c>
    </row>
    <row r="4" spans="1:17">
      <c r="A4" s="2" t="s">
        <v>162</v>
      </c>
      <c r="B4" s="2">
        <v>1500</v>
      </c>
      <c r="C4" s="2">
        <v>1400</v>
      </c>
      <c r="D4" s="2">
        <v>1700</v>
      </c>
      <c r="E4" s="2">
        <v>1800</v>
      </c>
      <c r="F4" s="2">
        <v>1900</v>
      </c>
      <c r="G4" s="2">
        <v>2000</v>
      </c>
      <c r="H4" s="2">
        <v>2100</v>
      </c>
      <c r="I4" s="2">
        <v>1900</v>
      </c>
      <c r="J4" s="2">
        <v>1800</v>
      </c>
      <c r="K4" s="2">
        <v>1700</v>
      </c>
      <c r="L4" s="2">
        <v>1600</v>
      </c>
      <c r="M4" s="2">
        <v>2000</v>
      </c>
      <c r="P4" s="21" t="s">
        <v>172</v>
      </c>
      <c r="Q4" s="20">
        <f>IFERROR(INDEX($A$2:$M$11, MATCH(Q2, $A$2:$A$11, 0), MATCH(Q3, $A$1:$M$1, 0)), "Not Found")</f>
        <v>3500</v>
      </c>
    </row>
    <row r="5" spans="1:17">
      <c r="A5" s="2" t="s">
        <v>163</v>
      </c>
      <c r="B5" s="2">
        <v>1000</v>
      </c>
      <c r="C5" s="2">
        <v>950</v>
      </c>
      <c r="D5" s="2">
        <v>1200</v>
      </c>
      <c r="E5" s="2">
        <v>1300</v>
      </c>
      <c r="F5" s="2">
        <v>1350</v>
      </c>
      <c r="G5" s="2">
        <v>1400</v>
      </c>
      <c r="H5" s="2">
        <v>1250</v>
      </c>
      <c r="I5" s="2">
        <v>1300</v>
      </c>
      <c r="J5" s="2">
        <v>1350</v>
      </c>
      <c r="K5" s="2">
        <v>1300</v>
      </c>
      <c r="L5" s="2">
        <v>1200</v>
      </c>
      <c r="M5" s="2">
        <v>1400</v>
      </c>
    </row>
    <row r="6" spans="1:17">
      <c r="A6" s="2" t="s">
        <v>164</v>
      </c>
      <c r="B6" s="2">
        <v>800</v>
      </c>
      <c r="C6" s="2">
        <v>750</v>
      </c>
      <c r="D6" s="2">
        <v>900</v>
      </c>
      <c r="E6" s="2">
        <v>950</v>
      </c>
      <c r="F6" s="2">
        <v>1000</v>
      </c>
      <c r="G6" s="2">
        <v>1050</v>
      </c>
      <c r="H6" s="2">
        <v>950</v>
      </c>
      <c r="I6" s="2">
        <v>1000</v>
      </c>
      <c r="J6" s="2">
        <v>1020</v>
      </c>
      <c r="K6" s="2">
        <v>980</v>
      </c>
      <c r="L6" s="2">
        <v>920</v>
      </c>
      <c r="M6" s="2">
        <v>1100</v>
      </c>
      <c r="O6" s="18" t="s">
        <v>174</v>
      </c>
      <c r="P6" s="22" t="s">
        <v>173</v>
      </c>
    </row>
    <row r="7" spans="1:17">
      <c r="A7" s="2" t="s">
        <v>165</v>
      </c>
      <c r="B7" s="2">
        <v>400</v>
      </c>
      <c r="C7" s="2">
        <v>350</v>
      </c>
      <c r="D7" s="2">
        <v>450</v>
      </c>
      <c r="E7" s="2">
        <v>500</v>
      </c>
      <c r="F7" s="2">
        <v>550</v>
      </c>
      <c r="G7" s="2">
        <v>600</v>
      </c>
      <c r="H7" s="2">
        <v>520</v>
      </c>
      <c r="I7" s="2">
        <v>550</v>
      </c>
      <c r="J7" s="2">
        <v>570</v>
      </c>
      <c r="K7" s="2">
        <v>540</v>
      </c>
      <c r="L7" s="2">
        <v>480</v>
      </c>
      <c r="M7" s="2">
        <v>600</v>
      </c>
    </row>
    <row r="8" spans="1:17">
      <c r="A8" s="2" t="s">
        <v>166</v>
      </c>
      <c r="B8" s="2">
        <v>200</v>
      </c>
      <c r="C8" s="2">
        <v>180</v>
      </c>
      <c r="D8" s="2">
        <v>220</v>
      </c>
      <c r="E8" s="2">
        <v>250</v>
      </c>
      <c r="F8" s="2">
        <v>260</v>
      </c>
      <c r="G8" s="2">
        <v>270</v>
      </c>
      <c r="H8" s="2">
        <v>240</v>
      </c>
      <c r="I8" s="2">
        <v>260</v>
      </c>
      <c r="J8" s="2">
        <v>250</v>
      </c>
      <c r="K8" s="2">
        <v>240</v>
      </c>
      <c r="L8" s="2">
        <v>230</v>
      </c>
      <c r="M8" s="2">
        <v>280</v>
      </c>
    </row>
    <row r="9" spans="1:17">
      <c r="A9" s="2" t="s">
        <v>167</v>
      </c>
      <c r="B9" s="2">
        <v>150</v>
      </c>
      <c r="C9" s="2">
        <v>140</v>
      </c>
      <c r="D9" s="2">
        <v>160</v>
      </c>
      <c r="E9" s="2">
        <v>180</v>
      </c>
      <c r="F9" s="2">
        <v>200</v>
      </c>
      <c r="G9" s="2">
        <v>220</v>
      </c>
      <c r="H9" s="2">
        <v>210</v>
      </c>
      <c r="I9" s="2">
        <v>190</v>
      </c>
      <c r="J9" s="2">
        <v>185</v>
      </c>
      <c r="K9" s="2">
        <v>180</v>
      </c>
      <c r="L9" s="2">
        <v>175</v>
      </c>
      <c r="M9" s="2">
        <v>220</v>
      </c>
    </row>
    <row r="10" spans="1:17">
      <c r="A10" s="2" t="s">
        <v>168</v>
      </c>
      <c r="B10" s="2">
        <v>300</v>
      </c>
      <c r="C10" s="2">
        <v>280</v>
      </c>
      <c r="D10" s="2">
        <v>320</v>
      </c>
      <c r="E10" s="2">
        <v>340</v>
      </c>
      <c r="F10" s="2">
        <v>360</v>
      </c>
      <c r="G10" s="2">
        <v>370</v>
      </c>
      <c r="H10" s="2">
        <v>350</v>
      </c>
      <c r="I10" s="2">
        <v>330</v>
      </c>
      <c r="J10" s="2">
        <v>320</v>
      </c>
      <c r="K10" s="2">
        <v>310</v>
      </c>
      <c r="L10" s="2">
        <v>300</v>
      </c>
      <c r="M10" s="2">
        <v>350</v>
      </c>
    </row>
    <row r="11" spans="1:17">
      <c r="A11" s="2" t="s">
        <v>169</v>
      </c>
      <c r="B11" s="2">
        <v>500</v>
      </c>
      <c r="C11" s="2">
        <v>480</v>
      </c>
      <c r="D11" s="2">
        <v>550</v>
      </c>
      <c r="E11" s="2">
        <v>600</v>
      </c>
      <c r="F11" s="2">
        <v>620</v>
      </c>
      <c r="G11" s="2">
        <v>630</v>
      </c>
      <c r="H11" s="2">
        <v>600</v>
      </c>
      <c r="I11" s="2">
        <v>580</v>
      </c>
      <c r="J11" s="2">
        <v>570</v>
      </c>
      <c r="K11" s="2">
        <v>550</v>
      </c>
      <c r="L11" s="2">
        <v>530</v>
      </c>
      <c r="M11" s="2">
        <v>600</v>
      </c>
    </row>
  </sheetData>
  <conditionalFormatting sqref="A1:M11">
    <cfRule type="expression" dxfId="1" priority="1">
      <formula>AND($A1=$Q$2, A$1=$Q$3)</formula>
    </cfRule>
  </conditionalFormatting>
  <dataValidations count="2">
    <dataValidation type="list" allowBlank="1" showInputMessage="1" showErrorMessage="1" sqref="Q2" xr:uid="{2E52C0BB-8AF8-424B-94E3-21A10FC6EB6A}">
      <formula1>$A$2:$A$11</formula1>
    </dataValidation>
    <dataValidation type="list" allowBlank="1" showInputMessage="1" showErrorMessage="1" sqref="Q3" xr:uid="{1404A095-D385-4F14-8B23-4EA198480C8A}">
      <formula1>$B$1:$M$1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99BD-B244-44B3-9830-55A1EC26B460}">
  <sheetPr codeName="Sheet2"/>
  <dimension ref="A1:K21"/>
  <sheetViews>
    <sheetView workbookViewId="0"/>
  </sheetViews>
  <sheetFormatPr defaultRowHeight="13.8"/>
  <cols>
    <col min="1" max="1" width="42.33203125" bestFit="1" customWidth="1"/>
    <col min="2" max="2" width="11.5546875" bestFit="1" customWidth="1"/>
    <col min="3" max="3" width="8" bestFit="1" customWidth="1"/>
    <col min="4" max="4" width="22.88671875" bestFit="1" customWidth="1"/>
    <col min="5" max="5" width="7.6640625" bestFit="1" customWidth="1"/>
    <col min="11" max="11" width="20.6640625" bestFit="1" customWidth="1"/>
  </cols>
  <sheetData>
    <row r="1" spans="1:11">
      <c r="A1" s="1" t="s">
        <v>40</v>
      </c>
      <c r="B1" s="1" t="s">
        <v>61</v>
      </c>
      <c r="C1" s="1" t="s">
        <v>86</v>
      </c>
      <c r="D1" s="1" t="s">
        <v>87</v>
      </c>
      <c r="E1" s="1" t="s">
        <v>62</v>
      </c>
    </row>
    <row r="2" spans="1:11">
      <c r="A2" s="2" t="s">
        <v>41</v>
      </c>
      <c r="B2" t="str" cm="1">
        <f t="array" ref="B2:E2">_xlfn.TEXTSPLIT(A2, ", ")</f>
        <v>John Doe</v>
      </c>
      <c r="C2" t="str">
        <v>25</v>
      </c>
      <c r="D2" t="str">
        <v>johndoe@example.com</v>
      </c>
      <c r="E2" t="str">
        <v>R001</v>
      </c>
      <c r="J2" s="17" t="s">
        <v>61</v>
      </c>
      <c r="K2" t="s">
        <v>74</v>
      </c>
    </row>
    <row r="3" spans="1:11">
      <c r="A3" s="2" t="s">
        <v>42</v>
      </c>
      <c r="B3" t="str" cm="1">
        <f t="array" ref="B3:E3">_xlfn.TEXTSPLIT(A3, ", ")</f>
        <v>Alice Smith</v>
      </c>
      <c r="C3" t="str">
        <v>30</v>
      </c>
      <c r="D3" t="str">
        <v>alicesmith@example.com</v>
      </c>
      <c r="E3" t="str">
        <v>R002</v>
      </c>
      <c r="J3" s="17" t="s">
        <v>86</v>
      </c>
      <c r="K3" t="str">
        <f>VLOOKUP(K2, B2:E21, 2, FALSE)</f>
        <v>23</v>
      </c>
    </row>
    <row r="4" spans="1:11">
      <c r="A4" s="2" t="s">
        <v>43</v>
      </c>
      <c r="B4" t="str" cm="1">
        <f t="array" ref="B4:E4">_xlfn.TEXTSPLIT(A4, ", ")</f>
        <v>Bob Brown</v>
      </c>
      <c r="C4" t="str">
        <v>22</v>
      </c>
      <c r="D4" t="str">
        <v>bobbrown@example.com</v>
      </c>
      <c r="E4" t="str">
        <v>R003</v>
      </c>
      <c r="J4" s="17" t="s">
        <v>87</v>
      </c>
      <c r="K4" t="str">
        <f>VLOOKUP(K2, B2:E21, 3, FALSE)</f>
        <v>ivyscott@example.com</v>
      </c>
    </row>
    <row r="5" spans="1:11">
      <c r="A5" s="2" t="s">
        <v>44</v>
      </c>
      <c r="B5" t="str" cm="1">
        <f t="array" ref="B5:E5">_xlfn.TEXTSPLIT(A5, ", ")</f>
        <v>Carol White</v>
      </c>
      <c r="C5" t="str">
        <v>27</v>
      </c>
      <c r="D5" t="str">
        <v>carolwhite@example.com</v>
      </c>
      <c r="E5" t="str">
        <v>R004</v>
      </c>
      <c r="J5" s="17" t="s">
        <v>62</v>
      </c>
      <c r="K5" t="str">
        <f>VLOOKUP(K2, B2:E21, 4, FALSE)</f>
        <v>R010</v>
      </c>
    </row>
    <row r="6" spans="1:11">
      <c r="A6" s="2" t="s">
        <v>45</v>
      </c>
      <c r="B6" t="str" cm="1">
        <f t="array" ref="B6:E6">_xlfn.TEXTSPLIT(A6, ", ")</f>
        <v>Dave Johnson</v>
      </c>
      <c r="C6" t="str">
        <v>24</v>
      </c>
      <c r="D6" t="str">
        <v>davejohnson@example.com</v>
      </c>
      <c r="E6" t="str">
        <v>R005</v>
      </c>
    </row>
    <row r="7" spans="1:11">
      <c r="A7" s="2" t="s">
        <v>46</v>
      </c>
      <c r="B7" t="str" cm="1">
        <f t="array" ref="B7:E7">_xlfn.TEXTSPLIT(A7, ", ")</f>
        <v>Eve Davis</v>
      </c>
      <c r="C7" t="str">
        <v>29</v>
      </c>
      <c r="D7" t="str">
        <v>evedavis@example.com</v>
      </c>
      <c r="E7" t="str">
        <v>R006</v>
      </c>
    </row>
    <row r="8" spans="1:11">
      <c r="A8" s="2" t="s">
        <v>47</v>
      </c>
      <c r="B8" t="str" cm="1">
        <f t="array" ref="B8:E8">_xlfn.TEXTSPLIT(A8, ", ")</f>
        <v>Frank Wilson</v>
      </c>
      <c r="C8" t="str">
        <v>28</v>
      </c>
      <c r="D8" t="str">
        <v>frankwilson@example.com</v>
      </c>
      <c r="E8" t="str">
        <v>R007</v>
      </c>
    </row>
    <row r="9" spans="1:11">
      <c r="A9" s="2" t="s">
        <v>48</v>
      </c>
      <c r="B9" t="str" cm="1">
        <f t="array" ref="B9:E9">_xlfn.TEXTSPLIT(A9, ", ")</f>
        <v>Grace Lee</v>
      </c>
      <c r="C9" t="str">
        <v>26</v>
      </c>
      <c r="D9" t="str">
        <v>gracelee@example.com</v>
      </c>
      <c r="E9" t="str">
        <v>R008</v>
      </c>
    </row>
    <row r="10" spans="1:11">
      <c r="A10" s="2" t="s">
        <v>49</v>
      </c>
      <c r="B10" t="str" cm="1">
        <f t="array" ref="B10:E10">_xlfn.TEXTSPLIT(A10, ", ")</f>
        <v>Henry King</v>
      </c>
      <c r="C10" t="str">
        <v>31</v>
      </c>
      <c r="D10" t="str">
        <v>henryking@example.com</v>
      </c>
      <c r="E10" t="str">
        <v>R009</v>
      </c>
    </row>
    <row r="11" spans="1:11">
      <c r="A11" s="2" t="s">
        <v>50</v>
      </c>
      <c r="B11" t="str" cm="1">
        <f t="array" ref="B11:E11">_xlfn.TEXTSPLIT(A11, ", ")</f>
        <v>Ivy Scott</v>
      </c>
      <c r="C11" t="str">
        <v>23</v>
      </c>
      <c r="D11" t="str">
        <v>ivyscott@example.com</v>
      </c>
      <c r="E11" t="str">
        <v>R010</v>
      </c>
    </row>
    <row r="12" spans="1:11">
      <c r="A12" s="2" t="s">
        <v>51</v>
      </c>
      <c r="B12" t="str" cm="1">
        <f t="array" ref="B12:E12">_xlfn.TEXTSPLIT(A12, ", ")</f>
        <v>Jack Adams</v>
      </c>
      <c r="C12" t="str">
        <v>27</v>
      </c>
      <c r="D12" t="str">
        <v>jackadams@example.com</v>
      </c>
      <c r="E12" t="str">
        <v>R011</v>
      </c>
    </row>
    <row r="13" spans="1:11">
      <c r="A13" s="2" t="s">
        <v>52</v>
      </c>
      <c r="B13" t="str" cm="1">
        <f t="array" ref="B13:E13">_xlfn.TEXTSPLIT(A13, ", ")</f>
        <v>Karen Hill</v>
      </c>
      <c r="C13" t="str">
        <v>32</v>
      </c>
      <c r="D13" t="str">
        <v>karenhill@example.com</v>
      </c>
      <c r="E13" t="str">
        <v>R012</v>
      </c>
    </row>
    <row r="14" spans="1:11">
      <c r="A14" s="2" t="s">
        <v>53</v>
      </c>
      <c r="B14" t="str" cm="1">
        <f t="array" ref="B14:E14">_xlfn.TEXTSPLIT(A14, ", ")</f>
        <v>Leo Perez</v>
      </c>
      <c r="C14" t="str">
        <v>21</v>
      </c>
      <c r="D14" t="str">
        <v>leoperez@example.com</v>
      </c>
      <c r="E14" t="str">
        <v>R013</v>
      </c>
    </row>
    <row r="15" spans="1:11">
      <c r="A15" s="2" t="s">
        <v>54</v>
      </c>
      <c r="B15" t="str" cm="1">
        <f t="array" ref="B15:E15">_xlfn.TEXTSPLIT(A15, ", ")</f>
        <v>Mia Clark</v>
      </c>
      <c r="C15" t="str">
        <v>26</v>
      </c>
      <c r="D15" t="str">
        <v>miaclark@example.com</v>
      </c>
      <c r="E15" t="str">
        <v>R014</v>
      </c>
    </row>
    <row r="16" spans="1:11">
      <c r="A16" s="2" t="s">
        <v>55</v>
      </c>
      <c r="B16" t="str" cm="1">
        <f t="array" ref="B16:E16">_xlfn.TEXTSPLIT(A16, ", ")</f>
        <v>Noah Lewis</v>
      </c>
      <c r="C16" t="str">
        <v>28</v>
      </c>
      <c r="D16" t="str">
        <v>noahlewis@example.com</v>
      </c>
      <c r="E16" t="str">
        <v>R015</v>
      </c>
    </row>
    <row r="17" spans="1:5">
      <c r="A17" s="2" t="s">
        <v>56</v>
      </c>
      <c r="B17" t="str" cm="1">
        <f t="array" ref="B17:E17">_xlfn.TEXTSPLIT(A17, ", ")</f>
        <v>Olivia Baker</v>
      </c>
      <c r="C17" t="str">
        <v>29</v>
      </c>
      <c r="D17" t="str">
        <v>oliviabaker@example.com</v>
      </c>
      <c r="E17" t="str">
        <v>R016</v>
      </c>
    </row>
    <row r="18" spans="1:5">
      <c r="A18" s="2" t="s">
        <v>57</v>
      </c>
      <c r="B18" t="str" cm="1">
        <f t="array" ref="B18:E18">_xlfn.TEXTSPLIT(A18, ", ")</f>
        <v>Paul Wright</v>
      </c>
      <c r="C18" t="str">
        <v>25</v>
      </c>
      <c r="D18" t="str">
        <v>paulwright@example.com</v>
      </c>
      <c r="E18" t="str">
        <v>R017</v>
      </c>
    </row>
    <row r="19" spans="1:5">
      <c r="A19" s="2" t="s">
        <v>58</v>
      </c>
      <c r="B19" t="str" cm="1">
        <f t="array" ref="B19:E19">_xlfn.TEXTSPLIT(A19, ", ")</f>
        <v>Quinn Harris</v>
      </c>
      <c r="C19" t="str">
        <v>30</v>
      </c>
      <c r="D19" t="str">
        <v>quinnharris@example.com</v>
      </c>
      <c r="E19" t="str">
        <v>R018</v>
      </c>
    </row>
    <row r="20" spans="1:5">
      <c r="A20" s="2" t="s">
        <v>59</v>
      </c>
      <c r="B20" t="str" cm="1">
        <f t="array" ref="B20:E20">_xlfn.TEXTSPLIT(A20, ", ")</f>
        <v>Rose Young</v>
      </c>
      <c r="C20" t="str">
        <v>27</v>
      </c>
      <c r="D20" t="str">
        <v>roseyoung@example.com</v>
      </c>
      <c r="E20" t="str">
        <v>R019</v>
      </c>
    </row>
    <row r="21" spans="1:5">
      <c r="A21" s="2" t="s">
        <v>60</v>
      </c>
      <c r="B21" t="str" cm="1">
        <f t="array" ref="B21:E21">_xlfn.TEXTSPLIT(A21, ", ")</f>
        <v>Sam Martinez</v>
      </c>
      <c r="C21" t="str">
        <v>24</v>
      </c>
      <c r="D21" t="str">
        <v>sammartinez@example.com</v>
      </c>
      <c r="E21" t="str">
        <v>R020</v>
      </c>
    </row>
  </sheetData>
  <dataValidations count="1">
    <dataValidation type="list" allowBlank="1" showInputMessage="1" showErrorMessage="1" sqref="K2" xr:uid="{8ECA86A9-9832-47EC-90C3-D08917FE9F0D}">
      <formula1>$B$2:$B$21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4B159-5011-412A-BA95-575D88E5407C}">
  <sheetPr codeName="Sheet3"/>
  <dimension ref="A1:C21"/>
  <sheetViews>
    <sheetView workbookViewId="0"/>
  </sheetViews>
  <sheetFormatPr defaultRowHeight="13.8"/>
  <cols>
    <col min="1" max="3" width="24.21875" customWidth="1"/>
  </cols>
  <sheetData>
    <row r="1" spans="1:3">
      <c r="A1" s="1" t="s">
        <v>63</v>
      </c>
      <c r="B1" s="1" t="s">
        <v>64</v>
      </c>
      <c r="C1" s="1" t="s">
        <v>85</v>
      </c>
    </row>
    <row r="2" spans="1:3">
      <c r="A2" s="2" t="s">
        <v>65</v>
      </c>
      <c r="B2" s="3">
        <v>0.3659722222222222</v>
      </c>
      <c r="C2" t="str">
        <f>IF(B2 &lt;= TIME(9, 0, 0), "On Time", "Late Arrival")</f>
        <v>On Time</v>
      </c>
    </row>
    <row r="3" spans="1:3">
      <c r="A3" s="2" t="s">
        <v>66</v>
      </c>
      <c r="B3" s="3">
        <v>0.37638888888888888</v>
      </c>
      <c r="C3" t="str">
        <f t="shared" ref="C3:C21" si="0">IF(B3 &lt;= TIME(9, 0, 0), "On Time", "Late Arrival")</f>
        <v>Late Arrival</v>
      </c>
    </row>
    <row r="4" spans="1:3">
      <c r="A4" s="2" t="s">
        <v>67</v>
      </c>
      <c r="B4" s="3">
        <v>0.37152777777777779</v>
      </c>
      <c r="C4" t="str">
        <f t="shared" si="0"/>
        <v>On Time</v>
      </c>
    </row>
    <row r="5" spans="1:3">
      <c r="A5" s="2" t="s">
        <v>68</v>
      </c>
      <c r="B5" s="3">
        <v>0.3840277777777778</v>
      </c>
      <c r="C5" t="str">
        <f t="shared" si="0"/>
        <v>Late Arrival</v>
      </c>
    </row>
    <row r="6" spans="1:3">
      <c r="A6" s="2" t="s">
        <v>69</v>
      </c>
      <c r="B6" s="3">
        <v>0.36805555555555558</v>
      </c>
      <c r="C6" t="str">
        <f t="shared" si="0"/>
        <v>On Time</v>
      </c>
    </row>
    <row r="7" spans="1:3">
      <c r="A7" s="2" t="s">
        <v>70</v>
      </c>
      <c r="B7" s="3">
        <v>0.37847222222222221</v>
      </c>
      <c r="C7" t="str">
        <f t="shared" si="0"/>
        <v>Late Arrival</v>
      </c>
    </row>
    <row r="8" spans="1:3">
      <c r="A8" s="2" t="s">
        <v>71</v>
      </c>
      <c r="B8" s="3">
        <v>0.37361111111111112</v>
      </c>
      <c r="C8" t="str">
        <f t="shared" si="0"/>
        <v>On Time</v>
      </c>
    </row>
    <row r="9" spans="1:3">
      <c r="A9" s="2" t="s">
        <v>72</v>
      </c>
      <c r="B9" s="3">
        <v>0.38194444444444442</v>
      </c>
      <c r="C9" t="str">
        <f t="shared" si="0"/>
        <v>Late Arrival</v>
      </c>
    </row>
    <row r="10" spans="1:3">
      <c r="A10" s="2" t="s">
        <v>73</v>
      </c>
      <c r="B10" s="3">
        <v>0.36736111111111114</v>
      </c>
      <c r="C10" t="str">
        <f t="shared" si="0"/>
        <v>On Time</v>
      </c>
    </row>
    <row r="11" spans="1:3">
      <c r="A11" s="2" t="s">
        <v>74</v>
      </c>
      <c r="B11" s="3">
        <v>0.38472222222222224</v>
      </c>
      <c r="C11" t="str">
        <f t="shared" si="0"/>
        <v>Late Arrival</v>
      </c>
    </row>
    <row r="12" spans="1:3">
      <c r="A12" s="2" t="s">
        <v>75</v>
      </c>
      <c r="B12" s="3">
        <v>0.37013888888888891</v>
      </c>
      <c r="C12" t="str">
        <f t="shared" si="0"/>
        <v>On Time</v>
      </c>
    </row>
    <row r="13" spans="1:3">
      <c r="A13" s="2" t="s">
        <v>76</v>
      </c>
      <c r="B13" s="3">
        <v>0.37430555555555556</v>
      </c>
      <c r="C13" t="str">
        <f t="shared" si="0"/>
        <v>On Time</v>
      </c>
    </row>
    <row r="14" spans="1:3">
      <c r="A14" s="2" t="s">
        <v>77</v>
      </c>
      <c r="B14" s="3">
        <v>0.37569444444444444</v>
      </c>
      <c r="C14" t="str">
        <f t="shared" si="0"/>
        <v>Late Arrival</v>
      </c>
    </row>
    <row r="15" spans="1:3">
      <c r="A15" s="2" t="s">
        <v>78</v>
      </c>
      <c r="B15" s="3">
        <v>0.36666666666666664</v>
      </c>
      <c r="C15" t="str">
        <f t="shared" si="0"/>
        <v>On Time</v>
      </c>
    </row>
    <row r="16" spans="1:3">
      <c r="A16" s="2" t="s">
        <v>79</v>
      </c>
      <c r="B16" s="3">
        <v>0.38333333333333336</v>
      </c>
      <c r="C16" t="str">
        <f t="shared" si="0"/>
        <v>Late Arrival</v>
      </c>
    </row>
    <row r="17" spans="1:3">
      <c r="A17" s="2" t="s">
        <v>80</v>
      </c>
      <c r="B17" s="3">
        <v>0.37708333333333333</v>
      </c>
      <c r="C17" t="str">
        <f t="shared" si="0"/>
        <v>Late Arrival</v>
      </c>
    </row>
    <row r="18" spans="1:3">
      <c r="A18" s="2" t="s">
        <v>81</v>
      </c>
      <c r="B18" s="3">
        <v>0.38124999999999998</v>
      </c>
      <c r="C18" t="str">
        <f t="shared" si="0"/>
        <v>Late Arrival</v>
      </c>
    </row>
    <row r="19" spans="1:3">
      <c r="A19" s="2" t="s">
        <v>82</v>
      </c>
      <c r="B19" s="3">
        <v>0.36527777777777776</v>
      </c>
      <c r="C19" t="str">
        <f t="shared" si="0"/>
        <v>On Time</v>
      </c>
    </row>
    <row r="20" spans="1:3">
      <c r="A20" s="2" t="s">
        <v>83</v>
      </c>
      <c r="B20" s="3">
        <v>0.37291666666666667</v>
      </c>
      <c r="C20" t="str">
        <f t="shared" si="0"/>
        <v>On Time</v>
      </c>
    </row>
    <row r="21" spans="1:3">
      <c r="A21" s="2" t="s">
        <v>84</v>
      </c>
      <c r="B21" s="3">
        <v>0.36944444444444446</v>
      </c>
      <c r="C21" t="str">
        <f t="shared" si="0"/>
        <v>On Time</v>
      </c>
    </row>
  </sheetData>
  <conditionalFormatting sqref="C2:C21">
    <cfRule type="expression" dxfId="0" priority="1">
      <formula>C2="Late Arrival"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031CC-76B3-4A87-98CF-9254D79D71E9}">
  <sheetPr codeName="Sheet4"/>
  <dimension ref="A1:B14"/>
  <sheetViews>
    <sheetView workbookViewId="0"/>
  </sheetViews>
  <sheetFormatPr defaultRowHeight="13.8"/>
  <cols>
    <col min="1" max="1" width="27.44140625" customWidth="1"/>
  </cols>
  <sheetData>
    <row r="1" spans="1:2">
      <c r="A1" s="18" t="s">
        <v>88</v>
      </c>
      <c r="B1">
        <v>4000000</v>
      </c>
    </row>
    <row r="2" spans="1:2">
      <c r="A2" s="18" t="s">
        <v>89</v>
      </c>
      <c r="B2" s="19">
        <v>0.125</v>
      </c>
    </row>
    <row r="3" spans="1:2">
      <c r="A3" s="18" t="s">
        <v>90</v>
      </c>
      <c r="B3">
        <v>60</v>
      </c>
    </row>
    <row r="4" spans="1:2">
      <c r="A4" s="18" t="s">
        <v>91</v>
      </c>
      <c r="B4">
        <v>66878.69</v>
      </c>
    </row>
    <row r="5" spans="1:2">
      <c r="A5" s="18"/>
    </row>
    <row r="6" spans="1:2">
      <c r="A6" s="18"/>
    </row>
    <row r="7" spans="1:2">
      <c r="A7" s="18"/>
    </row>
    <row r="8" spans="1:2">
      <c r="A8" s="18"/>
    </row>
    <row r="9" spans="1:2">
      <c r="A9" s="18"/>
    </row>
    <row r="10" spans="1:2">
      <c r="A10" s="18"/>
    </row>
    <row r="11" spans="1:2">
      <c r="A11" s="18"/>
    </row>
    <row r="12" spans="1:2">
      <c r="A12" s="18"/>
    </row>
    <row r="13" spans="1:2">
      <c r="A13" s="18"/>
    </row>
    <row r="14" spans="1:2">
      <c r="A14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ulateEMI">
                <anchor moveWithCells="1" sizeWithCells="1">
                  <from>
                    <xdr:col>2</xdr:col>
                    <xdr:colOff>373380</xdr:colOff>
                    <xdr:row>1</xdr:row>
                    <xdr:rowOff>53340</xdr:rowOff>
                  </from>
                  <to>
                    <xdr:col>5</xdr:col>
                    <xdr:colOff>449580</xdr:colOff>
                    <xdr:row>3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4826-BFAF-470A-9CDB-41AC37B0E7F5}">
  <sheetPr codeName="Sheet5"/>
  <dimension ref="A1:B22"/>
  <sheetViews>
    <sheetView workbookViewId="0"/>
  </sheetViews>
  <sheetFormatPr defaultRowHeight="13.8"/>
  <cols>
    <col min="1" max="1" width="13.88671875" bestFit="1" customWidth="1"/>
    <col min="2" max="2" width="25.21875" bestFit="1" customWidth="1"/>
  </cols>
  <sheetData>
    <row r="1" spans="1:2">
      <c r="A1" s="1" t="s">
        <v>92</v>
      </c>
      <c r="B1" s="1" t="s">
        <v>93</v>
      </c>
    </row>
    <row r="2" spans="1:2">
      <c r="A2" s="2" t="s">
        <v>94</v>
      </c>
      <c r="B2" s="2" t="s">
        <v>95</v>
      </c>
    </row>
    <row r="3" spans="1:2">
      <c r="A3" s="2" t="s">
        <v>96</v>
      </c>
      <c r="B3" s="2" t="s">
        <v>97</v>
      </c>
    </row>
    <row r="4" spans="1:2">
      <c r="A4" s="2" t="s">
        <v>98</v>
      </c>
      <c r="B4" s="2" t="s">
        <v>99</v>
      </c>
    </row>
    <row r="5" spans="1:2">
      <c r="A5" s="2" t="s">
        <v>100</v>
      </c>
      <c r="B5" s="2" t="s">
        <v>101</v>
      </c>
    </row>
    <row r="6" spans="1:2">
      <c r="A6" s="2" t="s">
        <v>102</v>
      </c>
      <c r="B6" s="2" t="s">
        <v>103</v>
      </c>
    </row>
    <row r="7" spans="1:2">
      <c r="A7" s="2" t="s">
        <v>104</v>
      </c>
      <c r="B7" s="2" t="s">
        <v>105</v>
      </c>
    </row>
    <row r="8" spans="1:2">
      <c r="A8" s="2" t="s">
        <v>106</v>
      </c>
      <c r="B8" s="2" t="s">
        <v>107</v>
      </c>
    </row>
    <row r="9" spans="1:2">
      <c r="A9" s="2" t="s">
        <v>108</v>
      </c>
      <c r="B9" s="2" t="s">
        <v>109</v>
      </c>
    </row>
    <row r="10" spans="1:2">
      <c r="A10" s="2" t="s">
        <v>110</v>
      </c>
      <c r="B10" s="2" t="s">
        <v>111</v>
      </c>
    </row>
    <row r="11" spans="1:2">
      <c r="A11" s="2" t="s">
        <v>112</v>
      </c>
      <c r="B11" s="2" t="s">
        <v>113</v>
      </c>
    </row>
    <row r="12" spans="1:2">
      <c r="A12" s="2" t="s">
        <v>114</v>
      </c>
      <c r="B12" s="2" t="s">
        <v>115</v>
      </c>
    </row>
    <row r="13" spans="1:2">
      <c r="A13" s="2" t="s">
        <v>116</v>
      </c>
      <c r="B13" s="2" t="s">
        <v>117</v>
      </c>
    </row>
    <row r="14" spans="1:2">
      <c r="A14" s="2" t="s">
        <v>118</v>
      </c>
      <c r="B14" s="2" t="s">
        <v>119</v>
      </c>
    </row>
    <row r="15" spans="1:2">
      <c r="A15" s="2" t="s">
        <v>120</v>
      </c>
      <c r="B15" s="2" t="s">
        <v>121</v>
      </c>
    </row>
    <row r="16" spans="1:2">
      <c r="A16" s="2" t="s">
        <v>122</v>
      </c>
      <c r="B16" s="2" t="s">
        <v>123</v>
      </c>
    </row>
    <row r="17" spans="1:2">
      <c r="A17" s="2" t="s">
        <v>124</v>
      </c>
      <c r="B17" s="2" t="s">
        <v>125</v>
      </c>
    </row>
    <row r="18" spans="1:2">
      <c r="A18" s="2" t="s">
        <v>126</v>
      </c>
      <c r="B18" s="2" t="s">
        <v>127</v>
      </c>
    </row>
    <row r="19" spans="1:2">
      <c r="A19" s="2" t="s">
        <v>128</v>
      </c>
      <c r="B19" s="2" t="s">
        <v>129</v>
      </c>
    </row>
    <row r="20" spans="1:2">
      <c r="A20" s="2" t="s">
        <v>130</v>
      </c>
      <c r="B20" s="2" t="s">
        <v>131</v>
      </c>
    </row>
    <row r="21" spans="1:2">
      <c r="A21" s="2" t="s">
        <v>132</v>
      </c>
      <c r="B21" s="2" t="s">
        <v>133</v>
      </c>
    </row>
    <row r="22" spans="1:2">
      <c r="A22" s="2" t="s">
        <v>134</v>
      </c>
      <c r="B22" s="2" t="s">
        <v>135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89662-CEF8-4606-B599-56E7C445292E}">
  <sheetPr codeName="Sheet6"/>
  <dimension ref="A1:B27"/>
  <sheetViews>
    <sheetView workbookViewId="0"/>
  </sheetViews>
  <sheetFormatPr defaultRowHeight="13.8"/>
  <cols>
    <col min="1" max="1" width="14" bestFit="1" customWidth="1"/>
    <col min="2" max="2" width="25.6640625" bestFit="1" customWidth="1"/>
    <col min="3" max="3" width="8.6640625" customWidth="1"/>
  </cols>
  <sheetData>
    <row r="1" spans="1:2">
      <c r="A1" s="1" t="s">
        <v>92</v>
      </c>
      <c r="B1" s="1" t="s">
        <v>93</v>
      </c>
    </row>
    <row r="2" spans="1:2">
      <c r="A2" s="2" t="s">
        <v>94</v>
      </c>
      <c r="B2" s="2" t="s">
        <v>95</v>
      </c>
    </row>
    <row r="3" spans="1:2">
      <c r="A3" s="2" t="s">
        <v>96</v>
      </c>
      <c r="B3" s="2" t="s">
        <v>97</v>
      </c>
    </row>
    <row r="4" spans="1:2">
      <c r="A4" s="2" t="s">
        <v>98</v>
      </c>
      <c r="B4" s="2" t="s">
        <v>99</v>
      </c>
    </row>
    <row r="5" spans="1:2">
      <c r="A5" s="2" t="s">
        <v>100</v>
      </c>
      <c r="B5" s="2" t="s">
        <v>101</v>
      </c>
    </row>
    <row r="6" spans="1:2">
      <c r="A6" s="2" t="s">
        <v>102</v>
      </c>
      <c r="B6" s="2" t="s">
        <v>103</v>
      </c>
    </row>
    <row r="7" spans="1:2">
      <c r="A7" s="2" t="s">
        <v>104</v>
      </c>
      <c r="B7" s="2" t="s">
        <v>105</v>
      </c>
    </row>
    <row r="8" spans="1:2">
      <c r="A8" s="2" t="s">
        <v>106</v>
      </c>
      <c r="B8" s="2" t="s">
        <v>107</v>
      </c>
    </row>
    <row r="9" spans="1:2">
      <c r="A9" s="2" t="s">
        <v>108</v>
      </c>
      <c r="B9" s="2" t="s">
        <v>109</v>
      </c>
    </row>
    <row r="10" spans="1:2">
      <c r="A10" s="2" t="s">
        <v>110</v>
      </c>
      <c r="B10" s="2" t="s">
        <v>111</v>
      </c>
    </row>
    <row r="11" spans="1:2">
      <c r="A11" s="2" t="s">
        <v>112</v>
      </c>
      <c r="B11" s="2" t="s">
        <v>113</v>
      </c>
    </row>
    <row r="12" spans="1:2">
      <c r="A12" s="2" t="s">
        <v>114</v>
      </c>
      <c r="B12" s="2" t="s">
        <v>115</v>
      </c>
    </row>
    <row r="13" spans="1:2">
      <c r="A13" s="2" t="s">
        <v>116</v>
      </c>
      <c r="B13" s="2" t="s">
        <v>117</v>
      </c>
    </row>
    <row r="14" spans="1:2">
      <c r="A14" s="2" t="s">
        <v>118</v>
      </c>
      <c r="B14" s="2" t="s">
        <v>119</v>
      </c>
    </row>
    <row r="15" spans="1:2">
      <c r="A15" s="2" t="s">
        <v>120</v>
      </c>
      <c r="B15" s="2" t="s">
        <v>121</v>
      </c>
    </row>
    <row r="16" spans="1:2">
      <c r="A16" s="2" t="s">
        <v>122</v>
      </c>
      <c r="B16" s="2" t="s">
        <v>123</v>
      </c>
    </row>
    <row r="17" spans="1:2">
      <c r="A17" s="2" t="s">
        <v>124</v>
      </c>
      <c r="B17" s="2" t="s">
        <v>125</v>
      </c>
    </row>
    <row r="18" spans="1:2">
      <c r="A18" s="2" t="s">
        <v>128</v>
      </c>
      <c r="B18" s="2" t="s">
        <v>129</v>
      </c>
    </row>
    <row r="19" spans="1:2">
      <c r="A19" s="2" t="s">
        <v>130</v>
      </c>
      <c r="B19" s="2" t="s">
        <v>131</v>
      </c>
    </row>
    <row r="20" spans="1:2">
      <c r="A20" s="2" t="s">
        <v>132</v>
      </c>
      <c r="B20" s="2" t="s">
        <v>133</v>
      </c>
    </row>
    <row r="21" spans="1:2">
      <c r="A21" s="2" t="s">
        <v>134</v>
      </c>
      <c r="B21" s="2" t="s">
        <v>135</v>
      </c>
    </row>
    <row r="22" spans="1:2">
      <c r="A22" s="2" t="s">
        <v>136</v>
      </c>
      <c r="B22" s="2" t="s">
        <v>137</v>
      </c>
    </row>
    <row r="23" spans="1:2">
      <c r="A23" s="2" t="s">
        <v>138</v>
      </c>
      <c r="B23" s="2" t="s">
        <v>139</v>
      </c>
    </row>
    <row r="24" spans="1:2">
      <c r="A24" s="2" t="s">
        <v>140</v>
      </c>
      <c r="B24" s="2" t="s">
        <v>141</v>
      </c>
    </row>
    <row r="25" spans="1:2">
      <c r="A25" s="2" t="s">
        <v>142</v>
      </c>
      <c r="B25" s="2" t="s">
        <v>143</v>
      </c>
    </row>
    <row r="26" spans="1:2">
      <c r="A26" s="2" t="s">
        <v>144</v>
      </c>
      <c r="B26" s="2" t="s">
        <v>145</v>
      </c>
    </row>
    <row r="27" spans="1:2">
      <c r="A27" s="2" t="s">
        <v>146</v>
      </c>
      <c r="B27" s="2" t="s">
        <v>147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C5416-5BE3-4AC8-8ED1-C889B4DFC793}">
  <sheetPr codeName="Sheet7"/>
  <dimension ref="A1:B20"/>
  <sheetViews>
    <sheetView workbookViewId="0">
      <selection sqref="A1:B1"/>
    </sheetView>
  </sheetViews>
  <sheetFormatPr defaultRowHeight="13.8"/>
  <cols>
    <col min="1" max="1" width="13.88671875" bestFit="1" customWidth="1"/>
    <col min="2" max="2" width="25.21875" bestFit="1" customWidth="1"/>
    <col min="4" max="5" width="10.109375" customWidth="1"/>
  </cols>
  <sheetData>
    <row r="1" spans="1:2">
      <c r="A1" t="s">
        <v>92</v>
      </c>
      <c r="B1" t="s">
        <v>93</v>
      </c>
    </row>
    <row r="2" spans="1:2">
      <c r="A2" t="s">
        <v>94</v>
      </c>
      <c r="B2" t="s">
        <v>95</v>
      </c>
    </row>
    <row r="3" spans="1:2">
      <c r="A3" t="s">
        <v>96</v>
      </c>
      <c r="B3" t="s">
        <v>97</v>
      </c>
    </row>
    <row r="4" spans="1:2">
      <c r="A4" t="s">
        <v>98</v>
      </c>
      <c r="B4" t="s">
        <v>99</v>
      </c>
    </row>
    <row r="5" spans="1:2">
      <c r="A5" t="s">
        <v>100</v>
      </c>
      <c r="B5" t="s">
        <v>101</v>
      </c>
    </row>
    <row r="6" spans="1:2">
      <c r="A6" t="s">
        <v>102</v>
      </c>
      <c r="B6" t="s">
        <v>103</v>
      </c>
    </row>
    <row r="7" spans="1:2">
      <c r="A7" t="s">
        <v>104</v>
      </c>
      <c r="B7" t="s">
        <v>105</v>
      </c>
    </row>
    <row r="8" spans="1:2">
      <c r="A8" t="s">
        <v>106</v>
      </c>
      <c r="B8" t="s">
        <v>107</v>
      </c>
    </row>
    <row r="9" spans="1:2">
      <c r="A9" t="s">
        <v>108</v>
      </c>
      <c r="B9" t="s">
        <v>109</v>
      </c>
    </row>
    <row r="10" spans="1:2">
      <c r="A10" t="s">
        <v>110</v>
      </c>
      <c r="B10" t="s">
        <v>111</v>
      </c>
    </row>
    <row r="11" spans="1:2">
      <c r="A11" t="s">
        <v>112</v>
      </c>
      <c r="B11" t="s">
        <v>113</v>
      </c>
    </row>
    <row r="12" spans="1:2">
      <c r="A12" t="s">
        <v>114</v>
      </c>
      <c r="B12" t="s">
        <v>115</v>
      </c>
    </row>
    <row r="13" spans="1:2">
      <c r="A13" t="s">
        <v>116</v>
      </c>
      <c r="B13" t="s">
        <v>117</v>
      </c>
    </row>
    <row r="14" spans="1:2">
      <c r="A14" t="s">
        <v>118</v>
      </c>
      <c r="B14" t="s">
        <v>119</v>
      </c>
    </row>
    <row r="15" spans="1:2">
      <c r="A15" t="s">
        <v>120</v>
      </c>
      <c r="B15" t="s">
        <v>121</v>
      </c>
    </row>
    <row r="16" spans="1:2">
      <c r="A16" t="s">
        <v>122</v>
      </c>
      <c r="B16" t="s">
        <v>123</v>
      </c>
    </row>
    <row r="17" spans="1:2">
      <c r="A17" t="s">
        <v>124</v>
      </c>
      <c r="B17" t="s">
        <v>125</v>
      </c>
    </row>
    <row r="18" spans="1:2">
      <c r="A18" t="s">
        <v>128</v>
      </c>
      <c r="B18" t="s">
        <v>129</v>
      </c>
    </row>
    <row r="19" spans="1:2">
      <c r="A19" t="s">
        <v>130</v>
      </c>
      <c r="B19" t="s">
        <v>131</v>
      </c>
    </row>
    <row r="20" spans="1:2">
      <c r="A20" t="s">
        <v>132</v>
      </c>
      <c r="B20" t="s">
        <v>133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03F8C-F9F8-4673-8E49-EA4F5CFA7D91}">
  <sheetPr codeName="Sheet11"/>
  <dimension ref="A1:F21"/>
  <sheetViews>
    <sheetView workbookViewId="0"/>
  </sheetViews>
  <sheetFormatPr defaultRowHeight="13.8"/>
  <cols>
    <col min="1" max="1" width="6.33203125" bestFit="1" customWidth="1"/>
    <col min="2" max="2" width="13.44140625" bestFit="1" customWidth="1"/>
    <col min="3" max="3" width="8.44140625" bestFit="1" customWidth="1"/>
    <col min="5" max="5" width="21.88671875" bestFit="1" customWidth="1"/>
    <col min="6" max="6" width="10.44140625" customWidth="1"/>
  </cols>
  <sheetData>
    <row r="1" spans="1:6">
      <c r="A1" s="1" t="s">
        <v>229</v>
      </c>
      <c r="B1" s="1" t="s">
        <v>92</v>
      </c>
      <c r="C1" s="1" t="s">
        <v>230</v>
      </c>
    </row>
    <row r="2" spans="1:6">
      <c r="A2" s="2">
        <v>1001</v>
      </c>
      <c r="B2" s="2" t="s">
        <v>65</v>
      </c>
      <c r="C2" s="2" t="s">
        <v>231</v>
      </c>
      <c r="E2" s="18" t="s">
        <v>253</v>
      </c>
      <c r="F2">
        <f>COUNTA(_xlfn.UNIQUE(C2:C21))</f>
        <v>4</v>
      </c>
    </row>
    <row r="3" spans="1:6">
      <c r="A3" s="2">
        <v>1002</v>
      </c>
      <c r="B3" s="2" t="s">
        <v>232</v>
      </c>
      <c r="C3" s="2" t="s">
        <v>233</v>
      </c>
      <c r="E3" s="18" t="s">
        <v>255</v>
      </c>
      <c r="F3">
        <f>COUNTA(A2:A21)</f>
        <v>20</v>
      </c>
    </row>
    <row r="4" spans="1:6">
      <c r="A4" s="2">
        <v>1003</v>
      </c>
      <c r="B4" s="2" t="s">
        <v>98</v>
      </c>
      <c r="C4" s="2" t="s">
        <v>234</v>
      </c>
    </row>
    <row r="5" spans="1:6">
      <c r="A5" s="2">
        <v>1004</v>
      </c>
      <c r="B5" s="2" t="s">
        <v>235</v>
      </c>
      <c r="C5" s="2" t="s">
        <v>236</v>
      </c>
      <c r="E5" s="1" t="s">
        <v>230</v>
      </c>
      <c r="F5" s="1" t="s">
        <v>254</v>
      </c>
    </row>
    <row r="6" spans="1:6">
      <c r="A6" s="2">
        <v>1005</v>
      </c>
      <c r="B6" s="2" t="s">
        <v>237</v>
      </c>
      <c r="C6" s="2" t="s">
        <v>231</v>
      </c>
      <c r="E6" t="str" cm="1">
        <f t="array" ref="E6:E9">_xlfn.UNIQUE(C2:C21)</f>
        <v>Marketing</v>
      </c>
      <c r="F6">
        <f>COUNTIF(C2:C21, E6)</f>
        <v>5</v>
      </c>
    </row>
    <row r="7" spans="1:6">
      <c r="A7" s="2">
        <v>1006</v>
      </c>
      <c r="B7" s="2" t="s">
        <v>238</v>
      </c>
      <c r="C7" s="2" t="s">
        <v>233</v>
      </c>
      <c r="E7" t="str">
        <v>Sales</v>
      </c>
      <c r="F7">
        <f t="shared" ref="F7:F9" si="0">COUNTIF(C3:C22, E7)</f>
        <v>5</v>
      </c>
    </row>
    <row r="8" spans="1:6">
      <c r="A8" s="2">
        <v>1007</v>
      </c>
      <c r="B8" s="2" t="s">
        <v>239</v>
      </c>
      <c r="C8" s="2" t="s">
        <v>234</v>
      </c>
      <c r="E8" t="str">
        <v>HR</v>
      </c>
      <c r="F8">
        <f t="shared" si="0"/>
        <v>5</v>
      </c>
    </row>
    <row r="9" spans="1:6">
      <c r="A9" s="2">
        <v>1008</v>
      </c>
      <c r="B9" s="2" t="s">
        <v>240</v>
      </c>
      <c r="C9" s="2" t="s">
        <v>236</v>
      </c>
      <c r="E9" t="str">
        <v>IT</v>
      </c>
      <c r="F9">
        <f t="shared" si="0"/>
        <v>5</v>
      </c>
    </row>
    <row r="10" spans="1:6">
      <c r="A10" s="2">
        <v>1009</v>
      </c>
      <c r="B10" s="2" t="s">
        <v>241</v>
      </c>
      <c r="C10" s="2" t="s">
        <v>231</v>
      </c>
    </row>
    <row r="11" spans="1:6">
      <c r="A11" s="2">
        <v>1010</v>
      </c>
      <c r="B11" s="2" t="s">
        <v>242</v>
      </c>
      <c r="C11" s="2" t="s">
        <v>233</v>
      </c>
    </row>
    <row r="12" spans="1:6">
      <c r="A12" s="2">
        <v>1011</v>
      </c>
      <c r="B12" s="2" t="s">
        <v>243</v>
      </c>
      <c r="C12" s="2" t="s">
        <v>234</v>
      </c>
    </row>
    <row r="13" spans="1:6">
      <c r="A13" s="2">
        <v>1012</v>
      </c>
      <c r="B13" s="2" t="s">
        <v>244</v>
      </c>
      <c r="C13" s="2" t="s">
        <v>236</v>
      </c>
    </row>
    <row r="14" spans="1:6">
      <c r="A14" s="2">
        <v>1013</v>
      </c>
      <c r="B14" s="2" t="s">
        <v>245</v>
      </c>
      <c r="C14" s="2" t="s">
        <v>231</v>
      </c>
    </row>
    <row r="15" spans="1:6">
      <c r="A15" s="2">
        <v>1014</v>
      </c>
      <c r="B15" s="2" t="s">
        <v>246</v>
      </c>
      <c r="C15" s="2" t="s">
        <v>233</v>
      </c>
    </row>
    <row r="16" spans="1:6">
      <c r="A16" s="2">
        <v>1015</v>
      </c>
      <c r="B16" s="2" t="s">
        <v>247</v>
      </c>
      <c r="C16" s="2" t="s">
        <v>234</v>
      </c>
    </row>
    <row r="17" spans="1:3">
      <c r="A17" s="2">
        <v>1016</v>
      </c>
      <c r="B17" s="2" t="s">
        <v>248</v>
      </c>
      <c r="C17" s="2" t="s">
        <v>236</v>
      </c>
    </row>
    <row r="18" spans="1:3">
      <c r="A18" s="2">
        <v>1017</v>
      </c>
      <c r="B18" s="2" t="s">
        <v>249</v>
      </c>
      <c r="C18" s="2" t="s">
        <v>231</v>
      </c>
    </row>
    <row r="19" spans="1:3">
      <c r="A19" s="2">
        <v>1018</v>
      </c>
      <c r="B19" s="2" t="s">
        <v>250</v>
      </c>
      <c r="C19" s="2" t="s">
        <v>233</v>
      </c>
    </row>
    <row r="20" spans="1:3">
      <c r="A20" s="2">
        <v>1019</v>
      </c>
      <c r="B20" s="2" t="s">
        <v>251</v>
      </c>
      <c r="C20" s="2" t="s">
        <v>234</v>
      </c>
    </row>
    <row r="21" spans="1:3">
      <c r="A21" s="2">
        <v>1020</v>
      </c>
      <c r="B21" s="2" t="s">
        <v>252</v>
      </c>
      <c r="C21" s="2" t="s">
        <v>236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B881C-249E-4409-B3C5-B93A50A50AAB}">
  <sheetPr codeName="Sheet10"/>
  <dimension ref="A3:C15"/>
  <sheetViews>
    <sheetView workbookViewId="0"/>
  </sheetViews>
  <sheetFormatPr defaultRowHeight="13.8"/>
  <cols>
    <col min="1" max="1" width="25.88671875" customWidth="1"/>
    <col min="2" max="2" width="15.77734375" customWidth="1"/>
  </cols>
  <sheetData>
    <row r="3" spans="1:3">
      <c r="B3" t="s">
        <v>227</v>
      </c>
    </row>
    <row r="5" spans="1:3">
      <c r="B5" t="s">
        <v>228</v>
      </c>
    </row>
    <row r="8" spans="1:3">
      <c r="A8" s="147" t="s">
        <v>517</v>
      </c>
      <c r="B8" t="str" cm="1">
        <f t="array" ref="B8">_xldudf_AI_ASK(B3)</f>
        <v>As of October 2023, the estimated population of India is approximately 1.42 billion people. India is the second most populous country in the world, following China.</v>
      </c>
    </row>
    <row r="10" spans="1:3">
      <c r="A10" s="147" t="s">
        <v>518</v>
      </c>
      <c r="B10" t="str" cm="1">
        <f t="array" ref="B10:C15">_xldudf_AI_TABLE(B5)</f>
        <v>Year</v>
      </c>
      <c r="C10" t="str">
        <v>Population (in billions)</v>
      </c>
    </row>
    <row r="11" spans="1:3">
      <c r="B11" t="str">
        <v>2019</v>
      </c>
      <c r="C11" t="str">
        <v>1.366</v>
      </c>
    </row>
    <row r="12" spans="1:3">
      <c r="B12" t="str">
        <v>2020</v>
      </c>
      <c r="C12" t="str">
        <v>1.380</v>
      </c>
    </row>
    <row r="13" spans="1:3">
      <c r="B13" t="str">
        <v>2021</v>
      </c>
      <c r="C13" t="str">
        <v>1.393</v>
      </c>
    </row>
    <row r="14" spans="1:3">
      <c r="B14" t="str">
        <v>2022</v>
      </c>
      <c r="C14" t="str">
        <v>1.406</v>
      </c>
    </row>
    <row r="15" spans="1:3">
      <c r="B15" t="str">
        <v>2023</v>
      </c>
      <c r="C15" t="str">
        <v>1.417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48A5-DE5B-4F29-BBE0-EEB54C2D6F4D}">
  <sheetPr codeName="Sheet12"/>
  <dimension ref="A1:E12"/>
  <sheetViews>
    <sheetView workbookViewId="0"/>
  </sheetViews>
  <sheetFormatPr defaultColWidth="12.21875" defaultRowHeight="15.6"/>
  <cols>
    <col min="1" max="1" width="26.109375" style="24" customWidth="1"/>
    <col min="2" max="2" width="61.77734375" style="24" customWidth="1"/>
    <col min="3" max="3" width="35.6640625" style="24" customWidth="1"/>
    <col min="4" max="4" width="15.109375" style="24" customWidth="1"/>
    <col min="5" max="5" width="21.6640625" style="24" customWidth="1"/>
    <col min="6" max="16384" width="12.21875" style="24"/>
  </cols>
  <sheetData>
    <row r="1" spans="1:5" ht="33.6">
      <c r="A1" s="37" t="s">
        <v>271</v>
      </c>
      <c r="B1" s="36" t="s">
        <v>270</v>
      </c>
      <c r="C1" s="36"/>
      <c r="D1" s="36"/>
    </row>
    <row r="2" spans="1:5">
      <c r="A2" s="35" t="s">
        <v>269</v>
      </c>
      <c r="B2" s="34" t="s">
        <v>268</v>
      </c>
    </row>
    <row r="5" spans="1:5" ht="18">
      <c r="A5" s="33" t="s">
        <v>267</v>
      </c>
      <c r="B5" s="33"/>
      <c r="C5" s="33"/>
      <c r="D5" s="33"/>
    </row>
    <row r="6" spans="1:5" ht="36">
      <c r="A6" s="32"/>
      <c r="B6" s="31" t="s">
        <v>266</v>
      </c>
      <c r="C6" s="30" t="s">
        <v>265</v>
      </c>
      <c r="D6" s="30" t="s">
        <v>264</v>
      </c>
      <c r="E6" s="25" t="s">
        <v>263</v>
      </c>
    </row>
    <row r="7" spans="1:5">
      <c r="A7" s="29" t="s">
        <v>262</v>
      </c>
      <c r="B7" s="29" t="s">
        <v>261</v>
      </c>
      <c r="C7" s="29" t="s">
        <v>260</v>
      </c>
      <c r="D7" s="29" t="s">
        <v>259</v>
      </c>
    </row>
    <row r="8" spans="1:5" ht="264.75" customHeight="1">
      <c r="A8" s="28" t="s">
        <v>258</v>
      </c>
      <c r="B8" s="28" t="s">
        <v>257</v>
      </c>
      <c r="C8" s="27" t="str" cm="1">
        <f t="array" ref="C8">_xldudf_AI_ASK($C$6,A8:B8)</f>
        <v>SAMSUNG 55" 4K UHD TV: Stunning colors, sleek design, smart features.</v>
      </c>
      <c r="D8" s="26" t="str" cm="1">
        <f t="array" ref="D8">_xldudf_AI_ASK($D$6,A8:B8)</f>
        <v>Television</v>
      </c>
      <c r="E8" s="25" t="s">
        <v>256</v>
      </c>
    </row>
    <row r="11" spans="1:5">
      <c r="B11" s="146" t="s">
        <v>516</v>
      </c>
    </row>
    <row r="12" spans="1:5" ht="46.8">
      <c r="B12" s="145" t="str" cm="1">
        <f t="array" ref="B12">_xldudf_AI_ASK(B11)</f>
        <v>As of 2023, the estimated population of India is approximately 1.42 billion people, making it the most populous country in the world, surpassing China.</v>
      </c>
    </row>
  </sheetData>
  <mergeCells count="1">
    <mergeCell ref="A5:D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C2D1F-8559-4CD8-9348-555557E6CDED}">
  <sheetPr codeName="Sheet13"/>
  <dimension ref="A1:H190"/>
  <sheetViews>
    <sheetView workbookViewId="0"/>
  </sheetViews>
  <sheetFormatPr defaultColWidth="12.21875" defaultRowHeight="15.75" customHeight="1"/>
  <cols>
    <col min="1" max="1" width="23.88671875" style="24" customWidth="1"/>
    <col min="2" max="2" width="28.6640625" style="24" customWidth="1"/>
    <col min="3" max="3" width="30.5546875" style="24" customWidth="1"/>
    <col min="4" max="16384" width="12.21875" style="24"/>
  </cols>
  <sheetData>
    <row r="1" spans="1:5" ht="33.6">
      <c r="A1" s="37" t="s">
        <v>271</v>
      </c>
      <c r="B1" s="51" t="s">
        <v>356</v>
      </c>
      <c r="C1" s="51"/>
      <c r="D1" s="51"/>
    </row>
    <row r="2" spans="1:5" ht="15.6">
      <c r="A2" s="35" t="s">
        <v>269</v>
      </c>
      <c r="B2" s="34" t="s">
        <v>355</v>
      </c>
    </row>
    <row r="3" spans="1:5" ht="15.6"/>
    <row r="4" spans="1:5" ht="15.6"/>
    <row r="5" spans="1:5" ht="18">
      <c r="A5" s="33" t="s">
        <v>354</v>
      </c>
      <c r="B5" s="33"/>
      <c r="C5" s="33"/>
      <c r="D5" s="33"/>
    </row>
    <row r="6" spans="1:5" ht="15.6">
      <c r="A6" s="43" t="s">
        <v>345</v>
      </c>
      <c r="B6" s="42" t="s">
        <v>352</v>
      </c>
      <c r="C6" s="41"/>
      <c r="D6" s="41"/>
    </row>
    <row r="8" spans="1:5" ht="15.6">
      <c r="A8" s="39" t="str" cm="1">
        <f t="array" ref="A8:D18">_xldudf_AI_TABLE(B6)</f>
        <v>Rank</v>
      </c>
      <c r="B8" s="39" t="str">
        <v>Movie Title</v>
      </c>
      <c r="C8" s="39" t="str">
        <v>Release Year</v>
      </c>
      <c r="D8" s="39" t="str">
        <v>Main Actor</v>
      </c>
      <c r="E8" s="25" t="s">
        <v>347</v>
      </c>
    </row>
    <row r="9" spans="1:5" ht="15.6">
      <c r="A9" s="39" t="str">
        <v>1</v>
      </c>
      <c r="B9" s="39" t="str">
        <v>The Shawshank Redemption</v>
      </c>
      <c r="C9" s="39" t="str">
        <v>1994</v>
      </c>
      <c r="D9" s="39" t="str">
        <v>Tim Robbins</v>
      </c>
    </row>
    <row r="10" spans="1:5" ht="15.6">
      <c r="A10" s="39" t="str">
        <v>2</v>
      </c>
      <c r="B10" s="39" t="str">
        <v>The Godfather</v>
      </c>
      <c r="C10" s="39" t="str">
        <v>1972</v>
      </c>
      <c r="D10" s="39" t="str">
        <v>Marlon Brando</v>
      </c>
    </row>
    <row r="11" spans="1:5" ht="15.6">
      <c r="A11" s="39" t="str">
        <v>3</v>
      </c>
      <c r="B11" s="39" t="str">
        <v>The Dark Knight</v>
      </c>
      <c r="C11" s="39" t="str">
        <v>2008</v>
      </c>
      <c r="D11" s="39" t="str">
        <v>Christian Bale</v>
      </c>
    </row>
    <row r="12" spans="1:5" ht="15.6">
      <c r="A12" s="39" t="str">
        <v>4</v>
      </c>
      <c r="B12" s="39" t="str">
        <v>Schindler's List</v>
      </c>
      <c r="C12" s="39" t="str">
        <v>1993</v>
      </c>
      <c r="D12" s="39" t="str">
        <v>Liam Neeson</v>
      </c>
    </row>
    <row r="13" spans="1:5" ht="15.6">
      <c r="A13" s="39" t="str">
        <v>5</v>
      </c>
      <c r="B13" s="39" t="str">
        <v>Pulp Fiction</v>
      </c>
      <c r="C13" s="39" t="str">
        <v>1994</v>
      </c>
      <c r="D13" s="39" t="str">
        <v>John Travolta</v>
      </c>
    </row>
    <row r="14" spans="1:5" ht="15.6">
      <c r="A14" s="39" t="str">
        <v>6</v>
      </c>
      <c r="B14" s="39" t="str">
        <v>The Lord of the Rings: The Return of the King</v>
      </c>
      <c r="C14" s="39" t="str">
        <v>2003</v>
      </c>
      <c r="D14" s="39" t="str">
        <v>Elijah Wood</v>
      </c>
    </row>
    <row r="15" spans="1:5" ht="15.6">
      <c r="A15" s="39" t="str">
        <v>7</v>
      </c>
      <c r="B15" s="39" t="str">
        <v>Forrest Gump</v>
      </c>
      <c r="C15" s="39" t="str">
        <v>1994</v>
      </c>
      <c r="D15" s="39" t="str">
        <v>Tom Hanks</v>
      </c>
    </row>
    <row r="16" spans="1:5" ht="15.6">
      <c r="A16" s="39" t="str">
        <v>8</v>
      </c>
      <c r="B16" s="39" t="str">
        <v>Fight Club</v>
      </c>
      <c r="C16" s="39" t="str">
        <v>1999</v>
      </c>
      <c r="D16" s="39" t="str">
        <v>Brad Pitt</v>
      </c>
    </row>
    <row r="17" spans="1:8" ht="15.6">
      <c r="A17" s="39" t="str">
        <v>9</v>
      </c>
      <c r="B17" s="39" t="str">
        <v>Inception</v>
      </c>
      <c r="C17" s="39" t="str">
        <v>2010</v>
      </c>
      <c r="D17" s="39" t="str">
        <v>Leonardo DiCaprio</v>
      </c>
    </row>
    <row r="18" spans="1:8" ht="15.6">
      <c r="A18" s="39" t="str">
        <v>10</v>
      </c>
      <c r="B18" s="39" t="str">
        <v>The Matrix</v>
      </c>
      <c r="C18" s="39" t="str">
        <v>1999</v>
      </c>
      <c r="D18" s="39" t="str">
        <v>Keanu Reeves</v>
      </c>
    </row>
    <row r="20" spans="1:8" ht="15.6">
      <c r="H20" s="50"/>
    </row>
    <row r="21" spans="1:8" ht="18">
      <c r="A21" s="49" t="s">
        <v>353</v>
      </c>
      <c r="B21" s="48"/>
      <c r="C21" s="48"/>
      <c r="D21" s="48"/>
    </row>
    <row r="22" spans="1:8" ht="15.6">
      <c r="A22" s="43" t="s">
        <v>345</v>
      </c>
      <c r="B22" s="42" t="s">
        <v>352</v>
      </c>
      <c r="C22" s="41"/>
      <c r="D22" s="41"/>
    </row>
    <row r="23" spans="1:8" ht="15.6">
      <c r="A23" s="47"/>
      <c r="B23" s="46"/>
      <c r="C23" s="45"/>
      <c r="D23" s="44"/>
    </row>
    <row r="24" spans="1:8" ht="15.6">
      <c r="A24" s="29" t="s">
        <v>351</v>
      </c>
      <c r="B24" s="40" t="s">
        <v>350</v>
      </c>
      <c r="C24" s="40" t="s">
        <v>349</v>
      </c>
      <c r="D24" s="40" t="s">
        <v>348</v>
      </c>
      <c r="E24" s="25"/>
    </row>
    <row r="25" spans="1:8" ht="15.6">
      <c r="A25" s="39" t="str" cm="1">
        <f t="array" ref="A25:D34">_xldudf_AI_TABLE(B22,A24:D24)</f>
        <v>1994</v>
      </c>
      <c r="B25" s="39" t="str">
        <v>The Shawshank Redemption</v>
      </c>
      <c r="C25" s="39" t="str">
        <v>Frank Darabont</v>
      </c>
      <c r="D25" s="39" t="str">
        <v>USA</v>
      </c>
      <c r="F25" s="25" t="s">
        <v>347</v>
      </c>
    </row>
    <row r="26" spans="1:8" ht="15.6">
      <c r="A26" s="39" t="str">
        <v>1972</v>
      </c>
      <c r="B26" s="39" t="str">
        <v>The Godfather</v>
      </c>
      <c r="C26" s="39" t="str">
        <v>Francis Ford Coppola</v>
      </c>
      <c r="D26" s="39" t="str">
        <v>USA</v>
      </c>
    </row>
    <row r="27" spans="1:8" ht="15.6">
      <c r="A27" s="39" t="str">
        <v>2008</v>
      </c>
      <c r="B27" s="39" t="str">
        <v>The Dark Knight</v>
      </c>
      <c r="C27" s="39" t="str">
        <v>Christopher Nolan</v>
      </c>
      <c r="D27" s="39" t="str">
        <v>USA</v>
      </c>
    </row>
    <row r="28" spans="1:8" ht="15.6">
      <c r="A28" s="39" t="str">
        <v>1994</v>
      </c>
      <c r="B28" s="39" t="str">
        <v>Pulp Fiction</v>
      </c>
      <c r="C28" s="39" t="str">
        <v>Quentin Tarantino</v>
      </c>
      <c r="D28" s="39" t="str">
        <v>USA</v>
      </c>
    </row>
    <row r="29" spans="1:8" ht="15.6">
      <c r="A29" s="39" t="str">
        <v>2003</v>
      </c>
      <c r="B29" s="39" t="str">
        <v>The Lord of the Rings: The Return of the King</v>
      </c>
      <c r="C29" s="39" t="str">
        <v>Peter Jackson</v>
      </c>
      <c r="D29" s="39" t="str">
        <v>New Zealand</v>
      </c>
    </row>
    <row r="30" spans="1:8" ht="15.6">
      <c r="A30" s="39" t="str">
        <v>1999</v>
      </c>
      <c r="B30" s="39" t="str">
        <v>Fight Club</v>
      </c>
      <c r="C30" s="39" t="str">
        <v>David Fincher</v>
      </c>
      <c r="D30" s="39" t="str">
        <v>USA</v>
      </c>
    </row>
    <row r="31" spans="1:8" ht="15.6">
      <c r="A31" s="39" t="str">
        <v>1984</v>
      </c>
      <c r="B31" s="39" t="str">
        <v>The Terminator</v>
      </c>
      <c r="C31" s="39" t="str">
        <v>James Cameron</v>
      </c>
      <c r="D31" s="39" t="str">
        <v>USA</v>
      </c>
    </row>
    <row r="32" spans="1:8" ht="15.6">
      <c r="A32" s="39" t="str">
        <v>1993</v>
      </c>
      <c r="B32" s="39" t="str">
        <v>Schindler's List</v>
      </c>
      <c r="C32" s="39" t="str">
        <v>Steven Spielberg</v>
      </c>
      <c r="D32" s="39" t="str">
        <v>USA</v>
      </c>
    </row>
    <row r="33" spans="1:5" ht="15.6">
      <c r="A33" s="39" t="str">
        <v>2001</v>
      </c>
      <c r="B33" s="39" t="str">
        <v>The Lord of the Rings: The Fellowship of the Ring</v>
      </c>
      <c r="C33" s="39" t="str">
        <v>Peter Jackson</v>
      </c>
      <c r="D33" s="39" t="str">
        <v>New Zealand</v>
      </c>
    </row>
    <row r="34" spans="1:5" ht="15.6">
      <c r="A34" s="39" t="str">
        <v>1999</v>
      </c>
      <c r="B34" s="39" t="str">
        <v>The Matrix</v>
      </c>
      <c r="C34" s="39" t="str">
        <v>Lana Wachowski, Lilly Wachowski</v>
      </c>
      <c r="D34" s="39" t="str">
        <v>USA</v>
      </c>
    </row>
    <row r="37" spans="1:5" ht="23.25" customHeight="1">
      <c r="A37" s="33" t="s">
        <v>346</v>
      </c>
      <c r="B37" s="33"/>
      <c r="C37" s="33"/>
      <c r="D37" s="33"/>
    </row>
    <row r="38" spans="1:5" ht="15.75" customHeight="1">
      <c r="A38" s="43" t="s">
        <v>345</v>
      </c>
      <c r="B38" s="42" t="s">
        <v>344</v>
      </c>
      <c r="C38" s="41"/>
      <c r="D38" s="41"/>
    </row>
    <row r="40" spans="1:5" ht="15.75" customHeight="1">
      <c r="A40" s="29" t="s">
        <v>61</v>
      </c>
      <c r="B40" s="40" t="s">
        <v>343</v>
      </c>
      <c r="C40" s="40" t="s">
        <v>342</v>
      </c>
      <c r="D40" s="40" t="s">
        <v>261</v>
      </c>
    </row>
    <row r="41" spans="1:5" ht="15.75" customHeight="1">
      <c r="A41" s="39" t="str" cm="1">
        <f t="array" ref="A41:D55">_xldudf_AI_TABLE(B38,A40:D40,A64:B189)</f>
        <v>Mark Frenkel</v>
      </c>
      <c r="B41" s="39" t="str">
        <v>Frenkel &amp; Frenkel, L.L.P.</v>
      </c>
      <c r="C41" s="39" t="str">
        <v>Dallas, TX</v>
      </c>
      <c r="D41" s="39" t="str">
        <v>Fighting For Car And Truck Wreck Victims - Winning For 25 Years</v>
      </c>
      <c r="E41" s="25"/>
    </row>
    <row r="42" spans="1:5" ht="15.75" customHeight="1">
      <c r="A42" s="39" t="str">
        <v>Bryan Fears</v>
      </c>
      <c r="B42" s="39" t="str">
        <v>Fears Law</v>
      </c>
      <c r="C42" s="39" t="str">
        <v>Dallas, TX</v>
      </c>
      <c r="D42" s="39" t="str">
        <v>If You Or A Loved One Has Fallen Victim To Negligence That’s Resulted In Injury Or Death, Call Us Now.</v>
      </c>
    </row>
    <row r="43" spans="1:5" ht="15.75" customHeight="1">
      <c r="A43" s="39" t="str">
        <v>Juan Hernandez</v>
      </c>
      <c r="B43" s="39" t="str">
        <v>Hernandez Law Group, P.C.</v>
      </c>
      <c r="C43" s="39" t="str">
        <v>Serving Dallas, TX (Statewide)</v>
      </c>
      <c r="D43" s="39" t="str">
        <v>Board Certified Personal Injury Attorney That Will Get You The Compensation You Deserve. Spanish Speaking Available. Call Now!</v>
      </c>
    </row>
    <row r="44" spans="1:5" ht="15.75" customHeight="1">
      <c r="A44" s="39" t="str">
        <v>Geoffrey Schorr</v>
      </c>
      <c r="B44" s="39" t="str">
        <v>Schorr Law Firm, P.C.</v>
      </c>
      <c r="C44" s="39" t="str">
        <v>Dallas, TX</v>
      </c>
      <c r="D44" s="39" t="str">
        <v>Standing up for people in situations where they can’t stand up for themselves is a precious gift that I’m immensely grateful for</v>
      </c>
    </row>
    <row r="45" spans="1:5" ht="15.75" customHeight="1">
      <c r="A45" s="39" t="str">
        <v>Kristina N. "Krisi" Kastl</v>
      </c>
      <c r="B45" s="39" t="str">
        <v>Kastl Law, P.C.</v>
      </c>
      <c r="C45" s="39" t="str">
        <v>Dallas, TX</v>
      </c>
      <c r="D45" s="39" t="str">
        <v>Krisi Kastl is the lifeline Motor Vehicle Accident victims need to recover maximum compensation.</v>
      </c>
    </row>
    <row r="46" spans="1:5" ht="15.75" customHeight="1">
      <c r="A46" s="39" t="str">
        <v>Cephus Richard</v>
      </c>
      <c r="B46" s="39" t="str">
        <v>Richard Trial Attorneys, PLLC</v>
      </c>
      <c r="C46" s="39" t="str">
        <v>Dallas, TX</v>
      </c>
      <c r="D46" s="39" t="str">
        <v>Schedule a free video, phone, or in-person consultation if you have been injured in a motor vehicle accident!</v>
      </c>
    </row>
    <row r="47" spans="1:5" ht="15.75" customHeight="1">
      <c r="A47" s="39" t="str">
        <v>Edward Mazzu</v>
      </c>
      <c r="B47" s="39" t="str">
        <v>Mazzu Law PLLC</v>
      </c>
      <c r="C47" s="39" t="str">
        <v>Serving Dallas, TX (Orchard Park, NY)</v>
      </c>
      <c r="D47" s="39" t="str">
        <v>Mazzu Law is a Personal Injury Law Firm Built on Core Values. We Help People Rebuild Their Lives After a Car Accident.</v>
      </c>
    </row>
    <row r="48" spans="1:5" ht="15.75" customHeight="1">
      <c r="A48" s="39" t="str">
        <v>Jason Franklin</v>
      </c>
      <c r="B48" s="39" t="str">
        <v>The Franklin Law Firm, LLP</v>
      </c>
      <c r="C48" s="39" t="str">
        <v>Dallas, TX</v>
      </c>
      <c r="D48" s="39" t="str">
        <v>When you've suffered devastating injury or loss, we make sure the wrongdoers are held accountable for their actions.</v>
      </c>
    </row>
    <row r="49" spans="1:4" ht="15.75" customHeight="1">
      <c r="A49" s="39" t="str">
        <v>Sadat Montgomery</v>
      </c>
      <c r="B49" s="39" t="str">
        <v>Montgomery Law, PLLC</v>
      </c>
      <c r="C49" s="39" t="str">
        <v>Dallas, TX</v>
      </c>
      <c r="D49" s="39" t="str">
        <v>Experienced car accident attorney. Serving Dallas, Texas residents.</v>
      </c>
    </row>
    <row r="50" spans="1:4" ht="15.75" customHeight="1">
      <c r="A50" s="39" t="str">
        <v>Ron McCallum</v>
      </c>
      <c r="B50" s="39" t="str">
        <v>Ron McCallum &amp; Associates PLLC</v>
      </c>
      <c r="C50" s="39" t="str">
        <v>Dallas, TX</v>
      </c>
      <c r="D50" s="39" t="str">
        <v>Ron McCallum has multiple years of experience in helping clients with their car accident needs in Dallas, TX.</v>
      </c>
    </row>
    <row r="51" spans="1:4" ht="15.75" customHeight="1">
      <c r="A51" s="39" t="str">
        <v>Shane V. Mullen</v>
      </c>
      <c r="B51" s="39" t="str">
        <v>Mullen &amp; Mullen Law Firm</v>
      </c>
      <c r="C51" s="39" t="str">
        <v>Dallas, TX</v>
      </c>
      <c r="D51" s="39" t="str">
        <v>Experienced car accident attorney. Serving Dallas, Texas residents.</v>
      </c>
    </row>
    <row r="52" spans="1:4" ht="15.75" customHeight="1">
      <c r="A52" s="39" t="str">
        <v>Ragan Speer</v>
      </c>
      <c r="B52" s="39" t="str">
        <v>Clement + Speer</v>
      </c>
      <c r="C52" s="39" t="str">
        <v>Dallas, TX</v>
      </c>
      <c r="D52" s="39" t="str">
        <v>Ragan Speer has multiple years of experience in helping clients with their car accident needs in Dallas, TX.</v>
      </c>
    </row>
    <row r="53" spans="1:4" ht="15.75" customHeight="1">
      <c r="A53" s="39" t="str">
        <v>Brian T. Cartwright</v>
      </c>
      <c r="B53" s="39" t="str">
        <v>Alagood Cartwright Burke PC</v>
      </c>
      <c r="C53" s="39" t="str">
        <v>Serving Dallas, TX (Denton, TX)</v>
      </c>
      <c r="D53" s="39" t="str">
        <v>Experienced, assertive car accident representation in the Dallas, TX area.</v>
      </c>
    </row>
    <row r="54" spans="1:4" ht="15.75" customHeight="1">
      <c r="A54" s="39" t="str">
        <v>Kay L. Van Wey</v>
      </c>
      <c r="B54" s="39" t="str">
        <v>Van Wey, Metzler &amp; Williams</v>
      </c>
      <c r="C54" s="39" t="str">
        <v>Dallas, TX</v>
      </c>
      <c r="D54" s="39" t="str">
        <v>Kay L. Van Wey is an experienced car accident attorney practicing in the Dallas area.</v>
      </c>
    </row>
    <row r="55" spans="1:4" ht="15.75" customHeight="1">
      <c r="A55" s="39" t="str">
        <v>Collen A. Clark</v>
      </c>
      <c r="B55" s="39" t="str">
        <v>Clark | von Plonski | Anderson</v>
      </c>
      <c r="C55" s="39" t="str">
        <v>Dallas, TX</v>
      </c>
      <c r="D55" s="39" t="str">
        <v>Connect with a local Dallas, TX attorney with proven experience helping clients with Texas car accident issues.</v>
      </c>
    </row>
    <row r="56" spans="1:4" ht="15.75" customHeight="1">
      <c r="A56" s="39"/>
      <c r="B56" s="39"/>
      <c r="C56" s="39"/>
      <c r="D56" s="39"/>
    </row>
    <row r="63" spans="1:4" ht="15.75" customHeight="1">
      <c r="A63" s="35" t="s">
        <v>341</v>
      </c>
    </row>
    <row r="64" spans="1:4" ht="15.75" customHeight="1">
      <c r="A64" s="38" t="s">
        <v>340</v>
      </c>
      <c r="B64" s="38"/>
      <c r="C64" s="38"/>
      <c r="D64" s="38"/>
    </row>
    <row r="65" spans="1:4" ht="15.75" customHeight="1">
      <c r="A65" s="38" t="s">
        <v>339</v>
      </c>
      <c r="B65" s="38"/>
      <c r="C65" s="38"/>
      <c r="D65" s="38"/>
    </row>
    <row r="66" spans="1:4" ht="15.75" customHeight="1">
      <c r="A66" s="38" t="s">
        <v>276</v>
      </c>
      <c r="B66" s="38"/>
      <c r="C66" s="38"/>
      <c r="D66" s="38"/>
    </row>
    <row r="67" spans="1:4" ht="15.75" customHeight="1">
      <c r="A67" s="38" t="s">
        <v>338</v>
      </c>
      <c r="B67" s="38"/>
      <c r="C67" s="38"/>
      <c r="D67" s="38"/>
    </row>
    <row r="68" spans="1:4" ht="15.75" customHeight="1">
      <c r="A68" s="38" t="s">
        <v>337</v>
      </c>
      <c r="B68" s="38"/>
      <c r="C68" s="38"/>
      <c r="D68" s="38"/>
    </row>
    <row r="69" spans="1:4" ht="15.75" customHeight="1">
      <c r="A69" s="38" t="s">
        <v>273</v>
      </c>
      <c r="B69" s="38"/>
      <c r="C69" s="38"/>
      <c r="D69" s="38"/>
    </row>
    <row r="70" spans="1:4" ht="15.75" customHeight="1">
      <c r="A70" s="38" t="s">
        <v>336</v>
      </c>
      <c r="B70" s="38"/>
      <c r="C70" s="38"/>
      <c r="D70" s="38"/>
    </row>
    <row r="71" spans="1:4" ht="15.75" customHeight="1">
      <c r="A71" s="38"/>
      <c r="B71" s="38"/>
      <c r="C71" s="38"/>
      <c r="D71" s="38"/>
    </row>
    <row r="72" spans="1:4" ht="15.75" customHeight="1">
      <c r="A72" s="38" t="s">
        <v>335</v>
      </c>
      <c r="B72" s="38"/>
      <c r="C72" s="38"/>
      <c r="D72" s="38"/>
    </row>
    <row r="73" spans="1:4" ht="15.75" customHeight="1">
      <c r="A73" s="38" t="s">
        <v>276</v>
      </c>
      <c r="B73" s="38"/>
      <c r="C73" s="38"/>
      <c r="D73" s="38"/>
    </row>
    <row r="74" spans="1:4" ht="15.75" customHeight="1">
      <c r="A74" s="38" t="s">
        <v>334</v>
      </c>
      <c r="B74" s="38"/>
      <c r="C74" s="38"/>
      <c r="D74" s="38"/>
    </row>
    <row r="75" spans="1:4" ht="15.75" customHeight="1">
      <c r="A75" s="38" t="s">
        <v>333</v>
      </c>
      <c r="B75" s="38"/>
      <c r="C75" s="38"/>
      <c r="D75" s="38"/>
    </row>
    <row r="76" spans="1:4" ht="15.75" customHeight="1">
      <c r="A76" s="38" t="s">
        <v>273</v>
      </c>
      <c r="B76" s="38"/>
      <c r="C76" s="38"/>
      <c r="D76" s="38"/>
    </row>
    <row r="77" spans="1:4" ht="15.75" customHeight="1">
      <c r="A77" s="38" t="s">
        <v>332</v>
      </c>
      <c r="B77" s="38"/>
      <c r="C77" s="38"/>
      <c r="D77" s="38"/>
    </row>
    <row r="78" spans="1:4" ht="15.75" customHeight="1">
      <c r="A78" s="38"/>
      <c r="B78" s="38"/>
      <c r="C78" s="38"/>
      <c r="D78" s="38"/>
    </row>
    <row r="79" spans="1:4" ht="15.75" customHeight="1">
      <c r="A79" s="38" t="s">
        <v>331</v>
      </c>
      <c r="B79" s="38"/>
      <c r="C79" s="38"/>
      <c r="D79" s="38"/>
    </row>
    <row r="80" spans="1:4" ht="15.75" customHeight="1">
      <c r="A80" s="38" t="s">
        <v>276</v>
      </c>
      <c r="B80" s="38"/>
      <c r="C80" s="38"/>
      <c r="D80" s="38"/>
    </row>
    <row r="81" spans="1:4" ht="15.75" customHeight="1">
      <c r="A81" s="38" t="s">
        <v>330</v>
      </c>
      <c r="B81" s="38"/>
      <c r="C81" s="38"/>
      <c r="D81" s="38"/>
    </row>
    <row r="82" spans="1:4" ht="15.75" customHeight="1">
      <c r="A82" s="38" t="s">
        <v>329</v>
      </c>
      <c r="B82" s="38"/>
      <c r="C82" s="38"/>
      <c r="D82" s="38"/>
    </row>
    <row r="83" spans="1:4" ht="15.75" customHeight="1">
      <c r="A83" s="38" t="s">
        <v>328</v>
      </c>
      <c r="B83" s="38"/>
      <c r="C83" s="38"/>
      <c r="D83" s="38"/>
    </row>
    <row r="84" spans="1:4" ht="15.75" customHeight="1">
      <c r="A84" s="38" t="s">
        <v>327</v>
      </c>
      <c r="B84" s="38"/>
      <c r="C84" s="38"/>
      <c r="D84" s="38"/>
    </row>
    <row r="85" spans="1:4" ht="15.75" customHeight="1">
      <c r="A85" s="38"/>
      <c r="B85" s="38"/>
      <c r="C85" s="38"/>
      <c r="D85" s="38"/>
    </row>
    <row r="86" spans="1:4" ht="15.75" customHeight="1">
      <c r="A86" s="38" t="s">
        <v>326</v>
      </c>
      <c r="B86" s="38"/>
      <c r="C86" s="38"/>
      <c r="D86" s="38"/>
    </row>
    <row r="87" spans="1:4" ht="15.75" customHeight="1">
      <c r="A87" s="38" t="s">
        <v>276</v>
      </c>
      <c r="B87" s="38"/>
      <c r="C87" s="38"/>
      <c r="D87" s="38"/>
    </row>
    <row r="88" spans="1:4" ht="15.75" customHeight="1">
      <c r="A88" s="38" t="s">
        <v>325</v>
      </c>
      <c r="B88" s="38"/>
      <c r="C88" s="38"/>
      <c r="D88" s="38"/>
    </row>
    <row r="89" spans="1:4" ht="15.75" customHeight="1">
      <c r="A89" s="38" t="s">
        <v>324</v>
      </c>
      <c r="B89" s="38"/>
      <c r="C89" s="38"/>
      <c r="D89" s="38"/>
    </row>
    <row r="90" spans="1:4" ht="15.75" customHeight="1">
      <c r="A90" s="38" t="s">
        <v>273</v>
      </c>
      <c r="B90" s="38"/>
      <c r="C90" s="38"/>
      <c r="D90" s="38"/>
    </row>
    <row r="91" spans="1:4" ht="15.75" customHeight="1">
      <c r="A91" s="38" t="s">
        <v>323</v>
      </c>
      <c r="B91" s="38"/>
      <c r="C91" s="38"/>
      <c r="D91" s="38"/>
    </row>
    <row r="92" spans="1:4" ht="15.75" customHeight="1">
      <c r="A92" s="38"/>
      <c r="B92" s="38"/>
      <c r="C92" s="38"/>
      <c r="D92" s="38"/>
    </row>
    <row r="93" spans="1:4" ht="15.75" customHeight="1">
      <c r="A93" s="38" t="s">
        <v>322</v>
      </c>
      <c r="B93" s="38"/>
      <c r="C93" s="38"/>
      <c r="D93" s="38"/>
    </row>
    <row r="94" spans="1:4" ht="15.75" customHeight="1">
      <c r="A94" s="38" t="s">
        <v>276</v>
      </c>
      <c r="B94" s="38"/>
      <c r="C94" s="38"/>
      <c r="D94" s="38"/>
    </row>
    <row r="95" spans="1:4" ht="15.75" customHeight="1">
      <c r="A95" s="38" t="s">
        <v>291</v>
      </c>
      <c r="B95" s="38"/>
      <c r="C95" s="38"/>
      <c r="D95" s="38"/>
    </row>
    <row r="96" spans="1:4" ht="15.75" customHeight="1">
      <c r="A96" s="38" t="s">
        <v>290</v>
      </c>
      <c r="B96" s="38"/>
      <c r="C96" s="38"/>
      <c r="D96" s="38"/>
    </row>
    <row r="97" spans="1:4" ht="15.75" customHeight="1">
      <c r="A97" s="38" t="s">
        <v>273</v>
      </c>
      <c r="B97" s="38"/>
      <c r="C97" s="38"/>
      <c r="D97" s="38"/>
    </row>
    <row r="98" spans="1:4" ht="15.75" customHeight="1">
      <c r="A98" s="38" t="s">
        <v>321</v>
      </c>
      <c r="B98" s="38"/>
      <c r="C98" s="38"/>
      <c r="D98" s="38"/>
    </row>
    <row r="99" spans="1:4" ht="15.75" customHeight="1">
      <c r="A99" s="38"/>
      <c r="B99" s="38"/>
      <c r="C99" s="38"/>
      <c r="D99" s="38"/>
    </row>
    <row r="100" spans="1:4" ht="15.75" customHeight="1">
      <c r="A100" s="38" t="s">
        <v>320</v>
      </c>
      <c r="B100" s="38"/>
      <c r="C100" s="38"/>
      <c r="D100" s="38"/>
    </row>
    <row r="101" spans="1:4" ht="15.75" customHeight="1">
      <c r="A101" s="38" t="s">
        <v>276</v>
      </c>
      <c r="B101" s="38"/>
      <c r="C101" s="38"/>
      <c r="D101" s="38"/>
    </row>
    <row r="102" spans="1:4" ht="15.75" customHeight="1">
      <c r="A102" s="38" t="s">
        <v>319</v>
      </c>
      <c r="B102" s="38"/>
      <c r="C102" s="38"/>
      <c r="D102" s="38"/>
    </row>
    <row r="103" spans="1:4" ht="15.75" customHeight="1">
      <c r="A103" s="38" t="s">
        <v>318</v>
      </c>
      <c r="B103" s="38"/>
      <c r="C103" s="38"/>
      <c r="D103" s="38"/>
    </row>
    <row r="104" spans="1:4" ht="15.75" customHeight="1">
      <c r="A104" s="38" t="s">
        <v>273</v>
      </c>
      <c r="B104" s="38"/>
      <c r="C104" s="38"/>
      <c r="D104" s="38"/>
    </row>
    <row r="105" spans="1:4" ht="15.75" customHeight="1">
      <c r="A105" s="38" t="s">
        <v>317</v>
      </c>
      <c r="B105" s="38"/>
      <c r="C105" s="38"/>
      <c r="D105" s="38"/>
    </row>
    <row r="106" spans="1:4" ht="15.75" customHeight="1">
      <c r="A106" s="38"/>
      <c r="B106" s="38"/>
      <c r="C106" s="38"/>
      <c r="D106" s="38"/>
    </row>
    <row r="107" spans="1:4" ht="15.75" customHeight="1">
      <c r="A107" s="38" t="s">
        <v>316</v>
      </c>
      <c r="B107" s="38"/>
      <c r="C107" s="38"/>
      <c r="D107" s="38"/>
    </row>
    <row r="108" spans="1:4" ht="15.75" customHeight="1">
      <c r="A108" s="38" t="s">
        <v>276</v>
      </c>
      <c r="B108" s="38"/>
      <c r="C108" s="38"/>
      <c r="D108" s="38"/>
    </row>
    <row r="109" spans="1:4" ht="15.75" customHeight="1">
      <c r="A109" s="38" t="s">
        <v>315</v>
      </c>
      <c r="B109" s="38"/>
      <c r="C109" s="38"/>
      <c r="D109" s="38"/>
    </row>
    <row r="110" spans="1:4" ht="15.75" customHeight="1">
      <c r="A110" s="38" t="s">
        <v>314</v>
      </c>
      <c r="B110" s="38"/>
      <c r="C110" s="38"/>
      <c r="D110" s="38"/>
    </row>
    <row r="111" spans="1:4" ht="15.75" customHeight="1">
      <c r="A111" s="38" t="s">
        <v>313</v>
      </c>
      <c r="B111" s="38"/>
      <c r="C111" s="38"/>
      <c r="D111" s="38"/>
    </row>
    <row r="112" spans="1:4" ht="15.75" customHeight="1">
      <c r="A112" s="38" t="s">
        <v>312</v>
      </c>
      <c r="B112" s="38"/>
      <c r="C112" s="38"/>
      <c r="D112" s="38"/>
    </row>
    <row r="113" spans="1:4" ht="15.75" customHeight="1">
      <c r="A113" s="38"/>
      <c r="B113" s="38"/>
      <c r="C113" s="38"/>
      <c r="D113" s="38"/>
    </row>
    <row r="114" spans="1:4" ht="15.75" customHeight="1">
      <c r="A114" s="38" t="s">
        <v>311</v>
      </c>
      <c r="B114" s="38"/>
      <c r="C114" s="38"/>
      <c r="D114" s="38"/>
    </row>
    <row r="115" spans="1:4" ht="15.75" customHeight="1">
      <c r="A115" s="38" t="s">
        <v>276</v>
      </c>
      <c r="B115" s="38"/>
      <c r="C115" s="38"/>
      <c r="D115" s="38"/>
    </row>
    <row r="116" spans="1:4" ht="15.75" customHeight="1">
      <c r="A116" s="38" t="s">
        <v>310</v>
      </c>
      <c r="B116" s="38"/>
      <c r="C116" s="38"/>
      <c r="D116" s="38"/>
    </row>
    <row r="117" spans="1:4" ht="15.75" customHeight="1">
      <c r="A117" s="38" t="s">
        <v>309</v>
      </c>
      <c r="B117" s="38"/>
      <c r="C117" s="38"/>
      <c r="D117" s="38"/>
    </row>
    <row r="118" spans="1:4" ht="15.75" customHeight="1">
      <c r="A118" s="38" t="s">
        <v>273</v>
      </c>
      <c r="B118" s="38"/>
      <c r="C118" s="38"/>
      <c r="D118" s="38"/>
    </row>
    <row r="119" spans="1:4" ht="15.75" customHeight="1">
      <c r="A119" s="38" t="s">
        <v>308</v>
      </c>
      <c r="B119" s="38"/>
      <c r="C119" s="38"/>
      <c r="D119" s="38"/>
    </row>
    <row r="120" spans="1:4" ht="15.75" customHeight="1">
      <c r="A120" s="38"/>
      <c r="B120" s="38"/>
      <c r="C120" s="38"/>
      <c r="D120" s="38"/>
    </row>
    <row r="121" spans="1:4" ht="15.75" customHeight="1">
      <c r="A121" s="38" t="s">
        <v>307</v>
      </c>
      <c r="B121" s="38"/>
      <c r="C121" s="38"/>
      <c r="D121" s="38"/>
    </row>
    <row r="122" spans="1:4" ht="15.75" customHeight="1">
      <c r="A122" s="38" t="s">
        <v>276</v>
      </c>
      <c r="B122" s="38"/>
      <c r="C122" s="38"/>
      <c r="D122" s="38"/>
    </row>
    <row r="123" spans="1:4" ht="15.75" customHeight="1">
      <c r="A123" s="38" t="s">
        <v>306</v>
      </c>
      <c r="B123" s="38"/>
      <c r="C123" s="38"/>
      <c r="D123" s="38"/>
    </row>
    <row r="124" spans="1:4" ht="15.75" customHeight="1">
      <c r="A124" s="38" t="s">
        <v>305</v>
      </c>
      <c r="B124" s="38"/>
      <c r="C124" s="38"/>
      <c r="D124" s="38"/>
    </row>
    <row r="125" spans="1:4" ht="15.75" customHeight="1">
      <c r="A125" s="38" t="s">
        <v>273</v>
      </c>
      <c r="B125" s="38"/>
      <c r="C125" s="38"/>
      <c r="D125" s="38"/>
    </row>
    <row r="126" spans="1:4" ht="15.75" customHeight="1">
      <c r="A126" s="38" t="s">
        <v>297</v>
      </c>
      <c r="B126" s="38"/>
      <c r="C126" s="38"/>
      <c r="D126" s="38"/>
    </row>
    <row r="127" spans="1:4" ht="15.75" customHeight="1">
      <c r="A127" s="38"/>
      <c r="B127" s="38"/>
      <c r="C127" s="38"/>
      <c r="D127" s="38"/>
    </row>
    <row r="128" spans="1:4" ht="15.75" customHeight="1">
      <c r="A128" s="38" t="s">
        <v>279</v>
      </c>
      <c r="B128" s="38"/>
      <c r="C128" s="38"/>
      <c r="D128" s="38"/>
    </row>
    <row r="129" spans="1:4" ht="15.75" customHeight="1">
      <c r="A129" s="38" t="s">
        <v>278</v>
      </c>
      <c r="B129" s="38"/>
      <c r="C129" s="38"/>
      <c r="D129" s="38"/>
    </row>
    <row r="130" spans="1:4" ht="15.75" customHeight="1">
      <c r="A130" s="38" t="s">
        <v>304</v>
      </c>
      <c r="B130" s="38"/>
      <c r="C130" s="38"/>
      <c r="D130" s="38"/>
    </row>
    <row r="131" spans="1:4" ht="15.75" customHeight="1">
      <c r="A131" s="38" t="s">
        <v>276</v>
      </c>
      <c r="B131" s="38"/>
      <c r="C131" s="38"/>
      <c r="D131" s="38"/>
    </row>
    <row r="132" spans="1:4" ht="15.75" customHeight="1">
      <c r="A132" s="38" t="s">
        <v>303</v>
      </c>
      <c r="B132" s="38"/>
      <c r="C132" s="38"/>
      <c r="D132" s="38"/>
    </row>
    <row r="133" spans="1:4" ht="15.75" customHeight="1">
      <c r="A133" s="38" t="s">
        <v>302</v>
      </c>
      <c r="B133" s="38"/>
      <c r="C133" s="38"/>
      <c r="D133" s="38"/>
    </row>
    <row r="134" spans="1:4" ht="15.75" customHeight="1">
      <c r="A134" s="38" t="s">
        <v>273</v>
      </c>
      <c r="B134" s="38"/>
      <c r="C134" s="38"/>
      <c r="D134" s="38"/>
    </row>
    <row r="135" spans="1:4" ht="15.75" customHeight="1">
      <c r="A135" s="38" t="s">
        <v>301</v>
      </c>
      <c r="B135" s="38"/>
      <c r="C135" s="38"/>
      <c r="D135" s="38"/>
    </row>
    <row r="136" spans="1:4" ht="15.75" customHeight="1">
      <c r="A136" s="38"/>
      <c r="B136" s="38"/>
      <c r="C136" s="38"/>
      <c r="D136" s="38"/>
    </row>
    <row r="137" spans="1:4" ht="15.75" customHeight="1">
      <c r="A137" s="38" t="s">
        <v>279</v>
      </c>
      <c r="B137" s="38"/>
      <c r="C137" s="38"/>
      <c r="D137" s="38"/>
    </row>
    <row r="138" spans="1:4" ht="15.75" customHeight="1">
      <c r="A138" s="38" t="s">
        <v>278</v>
      </c>
      <c r="B138" s="38"/>
      <c r="C138" s="38"/>
      <c r="D138" s="38"/>
    </row>
    <row r="139" spans="1:4" ht="15.75" customHeight="1">
      <c r="A139" s="38" t="s">
        <v>300</v>
      </c>
      <c r="B139" s="38"/>
      <c r="C139" s="38"/>
      <c r="D139" s="38"/>
    </row>
    <row r="140" spans="1:4" ht="15.75" customHeight="1">
      <c r="A140" s="38" t="s">
        <v>276</v>
      </c>
      <c r="B140" s="38"/>
      <c r="C140" s="38"/>
      <c r="D140" s="38"/>
    </row>
    <row r="141" spans="1:4" ht="15.75" customHeight="1">
      <c r="A141" s="38" t="s">
        <v>299</v>
      </c>
      <c r="B141" s="38"/>
      <c r="C141" s="38"/>
      <c r="D141" s="38"/>
    </row>
    <row r="142" spans="1:4" ht="15.75" customHeight="1">
      <c r="A142" s="38" t="s">
        <v>298</v>
      </c>
      <c r="B142" s="38"/>
      <c r="C142" s="38"/>
      <c r="D142" s="38"/>
    </row>
    <row r="143" spans="1:4" ht="15.75" customHeight="1">
      <c r="A143" s="38" t="s">
        <v>273</v>
      </c>
      <c r="B143" s="38"/>
      <c r="C143" s="38"/>
      <c r="D143" s="38"/>
    </row>
    <row r="144" spans="1:4" ht="15.75" customHeight="1">
      <c r="A144" s="38" t="s">
        <v>297</v>
      </c>
      <c r="B144" s="38"/>
      <c r="C144" s="38"/>
      <c r="D144" s="38"/>
    </row>
    <row r="145" spans="1:4" ht="15.75" customHeight="1">
      <c r="A145" s="38"/>
      <c r="B145" s="38"/>
      <c r="C145" s="38"/>
      <c r="D145" s="38"/>
    </row>
    <row r="146" spans="1:4" ht="15.75" customHeight="1">
      <c r="A146" s="38" t="s">
        <v>279</v>
      </c>
      <c r="B146" s="38"/>
      <c r="C146" s="38"/>
      <c r="D146" s="38"/>
    </row>
    <row r="147" spans="1:4" ht="15.75" customHeight="1">
      <c r="A147" s="38" t="s">
        <v>278</v>
      </c>
      <c r="B147" s="38"/>
      <c r="C147" s="38"/>
      <c r="D147" s="38"/>
    </row>
    <row r="148" spans="1:4" ht="15.75" customHeight="1">
      <c r="A148" s="38" t="s">
        <v>296</v>
      </c>
      <c r="B148" s="38"/>
      <c r="C148" s="38"/>
      <c r="D148" s="38"/>
    </row>
    <row r="149" spans="1:4" ht="15.75" customHeight="1">
      <c r="A149" s="38" t="s">
        <v>276</v>
      </c>
      <c r="B149" s="38"/>
      <c r="C149" s="38"/>
      <c r="D149" s="38"/>
    </row>
    <row r="150" spans="1:4" ht="15.75" customHeight="1">
      <c r="A150" s="38" t="s">
        <v>295</v>
      </c>
      <c r="B150" s="38"/>
      <c r="C150" s="38"/>
      <c r="D150" s="38"/>
    </row>
    <row r="151" spans="1:4" ht="15.75" customHeight="1">
      <c r="A151" s="38" t="s">
        <v>294</v>
      </c>
      <c r="B151" s="38"/>
      <c r="C151" s="38"/>
      <c r="D151" s="38"/>
    </row>
    <row r="152" spans="1:4" ht="15.75" customHeight="1">
      <c r="A152" s="38" t="s">
        <v>273</v>
      </c>
      <c r="B152" s="38"/>
      <c r="C152" s="38"/>
      <c r="D152" s="38"/>
    </row>
    <row r="153" spans="1:4" ht="15.75" customHeight="1">
      <c r="A153" s="38" t="s">
        <v>293</v>
      </c>
      <c r="B153" s="38"/>
      <c r="C153" s="38"/>
      <c r="D153" s="38"/>
    </row>
    <row r="154" spans="1:4" ht="15.75" customHeight="1">
      <c r="A154" s="38"/>
      <c r="B154" s="38"/>
      <c r="C154" s="38"/>
      <c r="D154" s="38"/>
    </row>
    <row r="155" spans="1:4" ht="15.75" customHeight="1">
      <c r="A155" s="38" t="s">
        <v>279</v>
      </c>
      <c r="B155" s="38"/>
      <c r="C155" s="38"/>
      <c r="D155" s="38"/>
    </row>
    <row r="156" spans="1:4" ht="15.75" customHeight="1">
      <c r="A156" s="38" t="s">
        <v>278</v>
      </c>
      <c r="B156" s="38"/>
      <c r="C156" s="38"/>
      <c r="D156" s="38"/>
    </row>
    <row r="157" spans="1:4" ht="15.75" customHeight="1">
      <c r="A157" s="38" t="s">
        <v>292</v>
      </c>
      <c r="B157" s="38"/>
      <c r="C157" s="38"/>
      <c r="D157" s="38"/>
    </row>
    <row r="158" spans="1:4" ht="15.75" customHeight="1">
      <c r="A158" s="38" t="s">
        <v>276</v>
      </c>
      <c r="B158" s="38"/>
      <c r="C158" s="38"/>
      <c r="D158" s="38"/>
    </row>
    <row r="159" spans="1:4" ht="15.75" customHeight="1">
      <c r="A159" s="38" t="s">
        <v>291</v>
      </c>
      <c r="B159" s="38"/>
      <c r="C159" s="38"/>
      <c r="D159" s="38"/>
    </row>
    <row r="160" spans="1:4" ht="15.75" customHeight="1">
      <c r="A160" s="38" t="s">
        <v>290</v>
      </c>
      <c r="B160" s="38"/>
      <c r="C160" s="38"/>
      <c r="D160" s="38"/>
    </row>
    <row r="161" spans="1:4" ht="15.75" customHeight="1">
      <c r="A161" s="38" t="s">
        <v>273</v>
      </c>
      <c r="B161" s="38"/>
      <c r="C161" s="38"/>
      <c r="D161" s="38"/>
    </row>
    <row r="162" spans="1:4" ht="15.75" customHeight="1">
      <c r="A162" s="38" t="s">
        <v>289</v>
      </c>
      <c r="B162" s="38"/>
      <c r="C162" s="38"/>
      <c r="D162" s="38"/>
    </row>
    <row r="163" spans="1:4" ht="15.75" customHeight="1">
      <c r="A163" s="38"/>
      <c r="B163" s="38"/>
      <c r="C163" s="38"/>
      <c r="D163" s="38"/>
    </row>
    <row r="164" spans="1:4" ht="15.75" customHeight="1">
      <c r="A164" s="38" t="s">
        <v>279</v>
      </c>
      <c r="B164" s="38"/>
      <c r="C164" s="38"/>
      <c r="D164" s="38"/>
    </row>
    <row r="165" spans="1:4" ht="15.75" customHeight="1">
      <c r="A165" s="38" t="s">
        <v>278</v>
      </c>
      <c r="B165" s="38"/>
      <c r="C165" s="38"/>
      <c r="D165" s="38"/>
    </row>
    <row r="166" spans="1:4" ht="15.75" customHeight="1">
      <c r="A166" s="38" t="s">
        <v>288</v>
      </c>
      <c r="B166" s="38"/>
      <c r="C166" s="38"/>
      <c r="D166" s="38"/>
    </row>
    <row r="167" spans="1:4" ht="15.75" customHeight="1">
      <c r="A167" s="38" t="s">
        <v>276</v>
      </c>
      <c r="B167" s="38"/>
      <c r="C167" s="38"/>
      <c r="D167" s="38"/>
    </row>
    <row r="168" spans="1:4" ht="15.75" customHeight="1">
      <c r="A168" s="38" t="s">
        <v>287</v>
      </c>
      <c r="B168" s="38"/>
      <c r="C168" s="38"/>
      <c r="D168" s="38"/>
    </row>
    <row r="169" spans="1:4" ht="15.75" customHeight="1">
      <c r="A169" s="38" t="s">
        <v>286</v>
      </c>
      <c r="B169" s="38"/>
      <c r="C169" s="38"/>
      <c r="D169" s="38"/>
    </row>
    <row r="170" spans="1:4" ht="15.75" customHeight="1">
      <c r="A170" s="38" t="s">
        <v>285</v>
      </c>
      <c r="B170" s="38"/>
      <c r="C170" s="38"/>
      <c r="D170" s="38"/>
    </row>
    <row r="171" spans="1:4" ht="15.75" customHeight="1">
      <c r="A171" s="38" t="s">
        <v>284</v>
      </c>
      <c r="B171" s="38"/>
      <c r="C171" s="38"/>
      <c r="D171" s="38"/>
    </row>
    <row r="172" spans="1:4" ht="15.75" customHeight="1">
      <c r="A172" s="38"/>
      <c r="B172" s="38"/>
      <c r="C172" s="38"/>
      <c r="D172" s="38"/>
    </row>
    <row r="173" spans="1:4" ht="15.75" customHeight="1">
      <c r="A173" s="38" t="s">
        <v>279</v>
      </c>
      <c r="B173" s="38"/>
      <c r="C173" s="38"/>
      <c r="D173" s="38"/>
    </row>
    <row r="174" spans="1:4" ht="15.75" customHeight="1">
      <c r="A174" s="38" t="s">
        <v>278</v>
      </c>
      <c r="B174" s="38"/>
      <c r="C174" s="38"/>
      <c r="D174" s="38"/>
    </row>
    <row r="175" spans="1:4" ht="15.75" customHeight="1">
      <c r="A175" s="38" t="s">
        <v>283</v>
      </c>
      <c r="B175" s="38"/>
      <c r="C175" s="38"/>
      <c r="D175" s="38"/>
    </row>
    <row r="176" spans="1:4" ht="15.75" customHeight="1">
      <c r="A176" s="38" t="s">
        <v>276</v>
      </c>
      <c r="B176" s="38"/>
      <c r="C176" s="38"/>
      <c r="D176" s="38"/>
    </row>
    <row r="177" spans="1:4" ht="15.75" customHeight="1">
      <c r="A177" s="38" t="s">
        <v>282</v>
      </c>
      <c r="B177" s="38"/>
      <c r="C177" s="38"/>
      <c r="D177" s="38"/>
    </row>
    <row r="178" spans="1:4" ht="15.75" customHeight="1">
      <c r="A178" s="38" t="s">
        <v>281</v>
      </c>
      <c r="B178" s="38"/>
      <c r="C178" s="38"/>
      <c r="D178" s="38"/>
    </row>
    <row r="179" spans="1:4" ht="15.75" customHeight="1">
      <c r="A179" s="38" t="s">
        <v>273</v>
      </c>
      <c r="B179" s="38"/>
      <c r="C179" s="38"/>
      <c r="D179" s="38"/>
    </row>
    <row r="180" spans="1:4" ht="15.75" customHeight="1">
      <c r="A180" s="38" t="s">
        <v>280</v>
      </c>
      <c r="B180" s="38"/>
      <c r="C180" s="38"/>
      <c r="D180" s="38"/>
    </row>
    <row r="181" spans="1:4" ht="15.75" customHeight="1">
      <c r="A181" s="38"/>
      <c r="B181" s="38"/>
      <c r="C181" s="38"/>
      <c r="D181" s="38"/>
    </row>
    <row r="182" spans="1:4" ht="15.75" customHeight="1">
      <c r="A182" s="38" t="s">
        <v>279</v>
      </c>
      <c r="B182" s="38"/>
      <c r="C182" s="38"/>
      <c r="D182" s="38"/>
    </row>
    <row r="183" spans="1:4" ht="15.75" customHeight="1">
      <c r="A183" s="38" t="s">
        <v>278</v>
      </c>
      <c r="B183" s="38"/>
      <c r="C183" s="38"/>
      <c r="D183" s="38"/>
    </row>
    <row r="184" spans="1:4" ht="15.75" customHeight="1">
      <c r="A184" s="38" t="s">
        <v>277</v>
      </c>
      <c r="B184" s="38"/>
      <c r="C184" s="38"/>
      <c r="D184" s="38"/>
    </row>
    <row r="185" spans="1:4" ht="15.75" customHeight="1">
      <c r="A185" s="38" t="s">
        <v>276</v>
      </c>
      <c r="B185" s="38"/>
      <c r="C185" s="38"/>
      <c r="D185" s="38"/>
    </row>
    <row r="186" spans="1:4" ht="15.75" customHeight="1">
      <c r="A186" s="38" t="s">
        <v>275</v>
      </c>
      <c r="B186" s="38"/>
      <c r="C186" s="38"/>
      <c r="D186" s="38"/>
    </row>
    <row r="187" spans="1:4" ht="15.75" customHeight="1">
      <c r="A187" s="38" t="s">
        <v>274</v>
      </c>
      <c r="B187" s="38"/>
      <c r="C187" s="38"/>
      <c r="D187" s="38"/>
    </row>
    <row r="188" spans="1:4" ht="15.75" customHeight="1">
      <c r="A188" s="38" t="s">
        <v>273</v>
      </c>
      <c r="B188" s="38"/>
      <c r="C188" s="38"/>
      <c r="D188" s="38"/>
    </row>
    <row r="189" spans="1:4" ht="15.75" customHeight="1">
      <c r="A189" s="38" t="s">
        <v>272</v>
      </c>
      <c r="B189" s="38"/>
      <c r="C189" s="38"/>
      <c r="D189" s="38"/>
    </row>
    <row r="190" spans="1:4" ht="15.75" customHeight="1">
      <c r="A190" s="38"/>
      <c r="B190" s="38"/>
      <c r="C190" s="38"/>
      <c r="D190" s="38"/>
    </row>
  </sheetData>
  <mergeCells count="4">
    <mergeCell ref="A5:D5"/>
    <mergeCell ref="A21:D21"/>
    <mergeCell ref="B1:D1"/>
    <mergeCell ref="A37:D3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4AA4-4FA8-43AD-A610-3DAC64CD866D}">
  <sheetPr codeName="Sheet14"/>
  <dimension ref="A1:D35"/>
  <sheetViews>
    <sheetView zoomScaleNormal="100" workbookViewId="0"/>
  </sheetViews>
  <sheetFormatPr defaultColWidth="12.21875" defaultRowHeight="15.6"/>
  <cols>
    <col min="1" max="1" width="37.6640625" style="24" customWidth="1"/>
    <col min="2" max="2" width="28.44140625" style="24" customWidth="1"/>
    <col min="3" max="3" width="30.6640625" style="24" customWidth="1"/>
    <col min="4" max="16384" width="12.21875" style="24"/>
  </cols>
  <sheetData>
    <row r="1" spans="1:4" ht="33.6">
      <c r="A1" s="37" t="s">
        <v>271</v>
      </c>
      <c r="B1" s="36" t="s">
        <v>390</v>
      </c>
      <c r="C1" s="36"/>
      <c r="D1" s="80"/>
    </row>
    <row r="2" spans="1:4">
      <c r="A2" s="35" t="s">
        <v>269</v>
      </c>
      <c r="B2" s="34" t="s">
        <v>389</v>
      </c>
    </row>
    <row r="5" spans="1:4" ht="18">
      <c r="A5" s="33" t="s">
        <v>388</v>
      </c>
      <c r="B5" s="33"/>
      <c r="C5" s="33"/>
      <c r="D5" s="76"/>
    </row>
    <row r="6" spans="1:4">
      <c r="A6" s="75" t="s">
        <v>376</v>
      </c>
      <c r="B6" s="75" t="s">
        <v>385</v>
      </c>
      <c r="C6" s="74" t="s">
        <v>375</v>
      </c>
      <c r="D6" s="68"/>
    </row>
    <row r="7" spans="1:4" ht="75" customHeight="1">
      <c r="A7" s="54" t="s">
        <v>387</v>
      </c>
      <c r="B7" s="79" t="s">
        <v>384</v>
      </c>
      <c r="C7" s="73" t="str" cm="1">
        <f t="array" ref="C7">_xldudf_AI_TRANSLATE(A7,B7)</f>
        <v>Boostez votre productivité avec ChatGPT pour Excel - l'outil ultime pour les utilisateurs de Microsoft Excel ™ ! Avec notre module complémentaire alimenté par l'IA, vous pouvez automatiser des tâches, obtenir des informations précieuses et gagner du temps et des efforts.</v>
      </c>
      <c r="D7" s="25" t="s">
        <v>347</v>
      </c>
    </row>
    <row r="8" spans="1:4">
      <c r="A8" s="78"/>
      <c r="B8" s="78"/>
      <c r="C8" s="78"/>
      <c r="D8" s="68"/>
    </row>
    <row r="9" spans="1:4" ht="18">
      <c r="A9" s="33" t="s">
        <v>386</v>
      </c>
      <c r="B9" s="33"/>
      <c r="C9" s="33"/>
      <c r="D9" s="76"/>
    </row>
    <row r="10" spans="1:4" ht="15.9" customHeight="1">
      <c r="A10" s="75" t="s">
        <v>376</v>
      </c>
      <c r="B10" s="75" t="s">
        <v>385</v>
      </c>
      <c r="C10" s="74" t="s">
        <v>375</v>
      </c>
      <c r="D10" s="68"/>
    </row>
    <row r="11" spans="1:4" ht="15.9" customHeight="1">
      <c r="A11" s="71" t="s">
        <v>374</v>
      </c>
      <c r="B11" s="70" t="s">
        <v>384</v>
      </c>
      <c r="C11" s="73" t="str" cm="1">
        <f t="array" ref="C11:C17">_xldudf_AI_TRANSLATE(A11:A17,B11:B17)</f>
        <v>SalesForce est l'une des principales plateformes technologiques.</v>
      </c>
      <c r="D11" s="25" t="s">
        <v>347</v>
      </c>
    </row>
    <row r="12" spans="1:4" ht="15.9" customHeight="1">
      <c r="A12" s="71" t="s">
        <v>373</v>
      </c>
      <c r="B12" s="70" t="s">
        <v>383</v>
      </c>
      <c r="C12" s="72" t="str">
        <v>IBM ist ein ausgezeichnetes Unternehmen, für das man arbeiten kann!</v>
      </c>
      <c r="D12" s="68"/>
    </row>
    <row r="13" spans="1:4" ht="15.9" customHeight="1">
      <c r="A13" s="71" t="s">
        <v>372</v>
      </c>
      <c r="B13" s="70" t="s">
        <v>382</v>
      </c>
      <c r="C13" s="72" t="str">
        <v>吃。睡。回收。</v>
      </c>
      <c r="D13" s="68"/>
    </row>
    <row r="14" spans="1:4" ht="15.9" customHeight="1">
      <c r="A14" s="71" t="s">
        <v>371</v>
      </c>
      <c r="B14" s="70" t="s">
        <v>381</v>
      </c>
      <c r="C14" s="72" t="str">
        <v>Stiamo costruendo il futuro con tecnologie all'avanguardia.</v>
      </c>
      <c r="D14" s="68"/>
    </row>
    <row r="15" spans="1:4" ht="15.9" customHeight="1">
      <c r="A15" s="71" t="s">
        <v>370</v>
      </c>
      <c r="B15" s="70" t="s">
        <v>380</v>
      </c>
      <c r="C15" s="72" t="str">
        <v>El liderazgo es un arte.</v>
      </c>
      <c r="D15" s="68"/>
    </row>
    <row r="16" spans="1:4" ht="15.9" customHeight="1">
      <c r="A16" s="71" t="s">
        <v>369</v>
      </c>
      <c r="B16" s="70" t="s">
        <v>379</v>
      </c>
      <c r="C16" s="72" t="str">
        <v>Var rösten, inte ekot.</v>
      </c>
      <c r="D16" s="68"/>
    </row>
    <row r="17" spans="1:4" ht="15.9" customHeight="1">
      <c r="A17" s="71" t="s">
        <v>368</v>
      </c>
      <c r="B17" s="70" t="s">
        <v>378</v>
      </c>
      <c r="C17" s="69" t="str">
        <v>यात्रा करना जीने के समान है।</v>
      </c>
      <c r="D17" s="68"/>
    </row>
    <row r="18" spans="1:4">
      <c r="A18" s="68"/>
      <c r="B18" s="68"/>
      <c r="C18" s="77"/>
      <c r="D18" s="68"/>
    </row>
    <row r="19" spans="1:4" ht="18">
      <c r="A19" s="33" t="s">
        <v>377</v>
      </c>
      <c r="B19" s="33"/>
      <c r="C19" s="33"/>
      <c r="D19" s="76"/>
    </row>
    <row r="20" spans="1:4">
      <c r="A20" s="75" t="s">
        <v>376</v>
      </c>
      <c r="B20" s="75"/>
      <c r="C20" s="74" t="s">
        <v>375</v>
      </c>
      <c r="D20" s="68"/>
    </row>
    <row r="21" spans="1:4" ht="15.9" customHeight="1">
      <c r="A21" s="71" t="s">
        <v>374</v>
      </c>
      <c r="B21" s="70"/>
      <c r="C21" s="73" t="str" cm="1">
        <f t="array" ref="C21:C27">_xldudf_AI_TRANSLATE(A21:A27,"French")</f>
        <v>SalesForce est l'une des principales plateformes technologiques.</v>
      </c>
      <c r="D21" s="25" t="s">
        <v>347</v>
      </c>
    </row>
    <row r="22" spans="1:4" ht="15.9" customHeight="1">
      <c r="A22" s="71" t="s">
        <v>373</v>
      </c>
      <c r="B22" s="70"/>
      <c r="C22" s="72" t="str">
        <v>IBM est une excellente entreprise pour travailler !</v>
      </c>
      <c r="D22" s="68"/>
    </row>
    <row r="23" spans="1:4" ht="15.9" customHeight="1">
      <c r="A23" s="71" t="s">
        <v>372</v>
      </c>
      <c r="B23" s="70"/>
      <c r="C23" s="72" t="str">
        <v>Manger. Dormir. Recycler.</v>
      </c>
      <c r="D23" s="68"/>
    </row>
    <row r="24" spans="1:4" ht="15.9" customHeight="1">
      <c r="A24" s="71" t="s">
        <v>371</v>
      </c>
      <c r="B24" s="70"/>
      <c r="C24" s="72" t="str">
        <v>Nous construisons l'avenir avec des technologies de pointe.</v>
      </c>
      <c r="D24" s="68"/>
    </row>
    <row r="25" spans="1:4" ht="15.9" customHeight="1">
      <c r="A25" s="71" t="s">
        <v>370</v>
      </c>
      <c r="B25" s="70"/>
      <c r="C25" s="72" t="str">
        <v>Le leadership est un art.</v>
      </c>
      <c r="D25" s="68"/>
    </row>
    <row r="26" spans="1:4" ht="15.9" customHeight="1">
      <c r="A26" s="71" t="s">
        <v>369</v>
      </c>
      <c r="B26" s="70"/>
      <c r="C26" s="72" t="str">
        <v>Soyez la voix, pas l'écho.</v>
      </c>
      <c r="D26" s="68"/>
    </row>
    <row r="27" spans="1:4" ht="15.9" customHeight="1">
      <c r="A27" s="71" t="s">
        <v>368</v>
      </c>
      <c r="B27" s="70"/>
      <c r="C27" s="69" t="str">
        <v>Voyager, c'est vivre.</v>
      </c>
      <c r="D27" s="68"/>
    </row>
    <row r="29" spans="1:4" ht="18">
      <c r="A29" s="33" t="s">
        <v>367</v>
      </c>
      <c r="B29" s="33"/>
      <c r="C29" s="33"/>
    </row>
    <row r="30" spans="1:4">
      <c r="A30" s="67" t="s">
        <v>366</v>
      </c>
      <c r="B30" s="66" t="s">
        <v>365</v>
      </c>
      <c r="C30" s="65"/>
    </row>
    <row r="31" spans="1:4" ht="24">
      <c r="A31" s="64" t="s">
        <v>364</v>
      </c>
      <c r="B31" s="63" t="s">
        <v>363</v>
      </c>
      <c r="C31" s="58" t="s">
        <v>362</v>
      </c>
    </row>
    <row r="32" spans="1:4">
      <c r="A32" s="62" t="s">
        <v>361</v>
      </c>
      <c r="B32" s="61" t="s">
        <v>360</v>
      </c>
      <c r="C32" s="58" t="s">
        <v>359</v>
      </c>
    </row>
    <row r="33" spans="1:4">
      <c r="A33" s="60" t="s">
        <v>358</v>
      </c>
      <c r="B33" s="59"/>
      <c r="C33" s="58"/>
    </row>
    <row r="34" spans="1:4">
      <c r="A34" s="57"/>
      <c r="B34" s="56"/>
      <c r="C34" s="55"/>
    </row>
    <row r="35" spans="1:4" ht="72">
      <c r="A35" s="54" t="s">
        <v>357</v>
      </c>
      <c r="B35" s="53" t="str" cm="1">
        <f t="array" ref="B35">_xldudf_AI_TRANSLATE(A35,"Spanish",A31:B33)</f>
        <v>Descubre el rendimiento definitivo con el dron Falcon X de DRT. Las características incluyen una cámara 4K UHD, 30 minutos de tiempo de vuelo, soporte GPS y GLONASS, y una velocidad máxima de 96 km/h. Su diseño plegable lo hace perfecto para viajar. El dron puede viajar hasta 32 kilómetros y operar a temperaturas de -15 °C a 49 °C.</v>
      </c>
      <c r="C35" s="52"/>
      <c r="D35" s="25" t="s">
        <v>347</v>
      </c>
    </row>
  </sheetData>
  <mergeCells count="5">
    <mergeCell ref="A5:C5"/>
    <mergeCell ref="A9:C9"/>
    <mergeCell ref="A19:C19"/>
    <mergeCell ref="A29:C29"/>
    <mergeCell ref="B35:C35"/>
  </mergeCells>
  <dataValidations count="1">
    <dataValidation allowBlank="1" showInputMessage="1" showErrorMessage="1" sqref="B31" xr:uid="{45478B23-B75B-42E5-A617-8A075E90D1F9}"/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5F147-8FFD-4990-B878-483146FDDE99}">
  <sheetPr codeName="Sheet15"/>
  <dimension ref="A1:D19"/>
  <sheetViews>
    <sheetView workbookViewId="0"/>
  </sheetViews>
  <sheetFormatPr defaultColWidth="12.21875" defaultRowHeight="15.6"/>
  <cols>
    <col min="1" max="1" width="32.88671875" style="24" customWidth="1"/>
    <col min="2" max="2" width="12.21875" style="24"/>
    <col min="3" max="3" width="37.6640625" style="24" customWidth="1"/>
    <col min="4" max="16384" width="12.21875" style="24"/>
  </cols>
  <sheetData>
    <row r="1" spans="1:4" ht="33.6">
      <c r="A1" s="37" t="s">
        <v>271</v>
      </c>
      <c r="B1" s="36" t="s">
        <v>409</v>
      </c>
      <c r="C1" s="36"/>
    </row>
    <row r="2" spans="1:4">
      <c r="A2" s="35" t="s">
        <v>269</v>
      </c>
      <c r="B2" s="34" t="s">
        <v>408</v>
      </c>
    </row>
    <row r="5" spans="1:4" ht="18">
      <c r="A5" s="33" t="s">
        <v>407</v>
      </c>
      <c r="B5" s="33"/>
      <c r="C5" s="33"/>
      <c r="D5" s="76"/>
    </row>
    <row r="6" spans="1:4">
      <c r="A6" s="67"/>
      <c r="B6" s="87"/>
      <c r="C6" s="86"/>
      <c r="D6" s="68"/>
    </row>
    <row r="7" spans="1:4" ht="15.9" customHeight="1">
      <c r="A7" s="85" t="s">
        <v>404</v>
      </c>
      <c r="B7" s="90" t="s">
        <v>403</v>
      </c>
      <c r="C7" s="89" t="s">
        <v>402</v>
      </c>
      <c r="D7" s="68"/>
    </row>
    <row r="8" spans="1:4" ht="24">
      <c r="A8" s="54" t="s">
        <v>406</v>
      </c>
      <c r="B8" s="79" t="s">
        <v>87</v>
      </c>
      <c r="C8" s="88" t="str" cm="1">
        <f t="array" ref="C8">_xldudf_AI_EXTRACT(A8,B8)</f>
        <v>sandrajones@kmpg.com</v>
      </c>
      <c r="D8" s="68" t="s">
        <v>347</v>
      </c>
    </row>
    <row r="9" spans="1:4" ht="15.9" customHeight="1">
      <c r="A9" s="68"/>
      <c r="B9" s="68"/>
      <c r="C9" s="68"/>
      <c r="D9" s="68"/>
    </row>
    <row r="10" spans="1:4" ht="18">
      <c r="A10" s="33" t="s">
        <v>405</v>
      </c>
      <c r="B10" s="33"/>
      <c r="C10" s="33"/>
      <c r="D10" s="76"/>
    </row>
    <row r="11" spans="1:4">
      <c r="A11" s="67"/>
      <c r="B11" s="87"/>
      <c r="C11" s="86"/>
      <c r="D11" s="68"/>
    </row>
    <row r="12" spans="1:4" ht="15.9" customHeight="1">
      <c r="A12" s="85" t="s">
        <v>404</v>
      </c>
      <c r="B12" s="84" t="s">
        <v>403</v>
      </c>
      <c r="C12" s="83" t="s">
        <v>402</v>
      </c>
      <c r="D12" s="68"/>
    </row>
    <row r="13" spans="1:4" ht="32.1" customHeight="1">
      <c r="A13" s="54" t="s">
        <v>401</v>
      </c>
      <c r="B13" s="79" t="s">
        <v>397</v>
      </c>
      <c r="C13" s="81" t="str" cm="1">
        <f t="array" ref="C13:C19">_xldudf_AI_EXTRACT(A13:A19,B13:B19)</f>
        <v>831-372-2135</v>
      </c>
      <c r="D13" s="25" t="s">
        <v>347</v>
      </c>
    </row>
    <row r="14" spans="1:4" ht="32.1" customHeight="1">
      <c r="A14" s="54" t="s">
        <v>400</v>
      </c>
      <c r="B14" s="79" t="s">
        <v>397</v>
      </c>
      <c r="C14" s="81" t="str">
        <v>Not Found</v>
      </c>
      <c r="D14" s="68"/>
    </row>
    <row r="15" spans="1:4" ht="32.1" customHeight="1">
      <c r="A15" s="54" t="s">
        <v>399</v>
      </c>
      <c r="B15" s="79" t="s">
        <v>397</v>
      </c>
      <c r="C15" s="81" t="str">
        <v>472-122-6831</v>
      </c>
      <c r="D15" s="68"/>
    </row>
    <row r="16" spans="1:4" ht="32.1" customHeight="1">
      <c r="A16" s="54" t="s">
        <v>398</v>
      </c>
      <c r="B16" s="79" t="s">
        <v>397</v>
      </c>
      <c r="C16" s="81" t="str">
        <v>211-462-3726</v>
      </c>
      <c r="D16" s="68"/>
    </row>
    <row r="17" spans="1:4">
      <c r="A17" s="82" t="s">
        <v>396</v>
      </c>
      <c r="B17" s="79" t="s">
        <v>395</v>
      </c>
      <c r="C17" s="81" t="str">
        <v>IBM</v>
      </c>
      <c r="D17" s="68"/>
    </row>
    <row r="18" spans="1:4">
      <c r="A18" s="82" t="s">
        <v>394</v>
      </c>
      <c r="B18" s="79" t="s">
        <v>393</v>
      </c>
      <c r="C18" s="81" t="str">
        <v>Canada</v>
      </c>
      <c r="D18" s="68"/>
    </row>
    <row r="19" spans="1:4">
      <c r="A19" s="82" t="s">
        <v>392</v>
      </c>
      <c r="B19" s="79" t="s">
        <v>391</v>
      </c>
      <c r="C19" s="81" t="str">
        <v>Procurement</v>
      </c>
      <c r="D19" s="68"/>
    </row>
  </sheetData>
  <mergeCells count="2">
    <mergeCell ref="A5:C5"/>
    <mergeCell ref="A10:C10"/>
  </mergeCells>
  <hyperlinks>
    <hyperlink ref="A8" r:id="rId1" xr:uid="{8AE3422E-F571-47CA-9A87-765624FEF80D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EE37E-6D4F-4E88-8A40-4B673AA357D1}">
  <sheetPr codeName="Sheet16"/>
  <dimension ref="A1:G53"/>
  <sheetViews>
    <sheetView workbookViewId="0"/>
  </sheetViews>
  <sheetFormatPr defaultColWidth="12.21875" defaultRowHeight="15.6"/>
  <cols>
    <col min="1" max="1" width="12.21875" style="24"/>
    <col min="2" max="2" width="18.21875" style="24" customWidth="1"/>
    <col min="3" max="4" width="12.21875" style="24"/>
    <col min="5" max="5" width="16.77734375" style="24" hidden="1" customWidth="1"/>
    <col min="6" max="6" width="11.21875" style="24" customWidth="1"/>
    <col min="7" max="16384" width="12.21875" style="24"/>
  </cols>
  <sheetData>
    <row r="1" spans="1:6" ht="33.6">
      <c r="A1" s="37" t="s">
        <v>271</v>
      </c>
      <c r="B1" s="36" t="s">
        <v>429</v>
      </c>
      <c r="C1" s="36"/>
      <c r="D1" s="36"/>
      <c r="E1" s="36"/>
      <c r="F1" s="36"/>
    </row>
    <row r="2" spans="1:6">
      <c r="A2" s="35" t="s">
        <v>269</v>
      </c>
      <c r="B2" s="34" t="s">
        <v>428</v>
      </c>
    </row>
    <row r="5" spans="1:6" ht="24" customHeight="1">
      <c r="A5" s="33" t="s">
        <v>427</v>
      </c>
      <c r="B5" s="33"/>
      <c r="C5" s="33"/>
      <c r="D5" s="33"/>
      <c r="E5" s="33"/>
      <c r="F5" s="33"/>
    </row>
    <row r="6" spans="1:6" ht="18.75" customHeight="1">
      <c r="A6" s="110" t="s">
        <v>426</v>
      </c>
      <c r="B6" s="110"/>
      <c r="C6" s="110"/>
      <c r="D6" s="67"/>
      <c r="E6" s="67"/>
      <c r="F6" s="67"/>
    </row>
    <row r="7" spans="1:6" ht="18.75" customHeight="1">
      <c r="A7" s="109"/>
      <c r="B7" s="34"/>
      <c r="C7" s="109"/>
    </row>
    <row r="8" spans="1:6" ht="15.75" customHeight="1">
      <c r="A8" s="103" t="s">
        <v>425</v>
      </c>
      <c r="B8" s="103"/>
      <c r="C8" s="103"/>
      <c r="D8" s="103"/>
      <c r="E8" s="103"/>
      <c r="F8" s="103"/>
    </row>
    <row r="9" spans="1:6">
      <c r="A9" s="102" t="s">
        <v>413</v>
      </c>
      <c r="B9" s="101" t="s">
        <v>262</v>
      </c>
      <c r="C9" s="101" t="s">
        <v>412</v>
      </c>
      <c r="D9" s="101" t="s">
        <v>411</v>
      </c>
      <c r="E9" s="101" t="s">
        <v>39</v>
      </c>
      <c r="F9" s="100" t="s">
        <v>410</v>
      </c>
    </row>
    <row r="10" spans="1:6">
      <c r="A10" s="99">
        <v>1</v>
      </c>
      <c r="B10" s="106" t="s">
        <v>424</v>
      </c>
      <c r="C10" s="24">
        <v>1200</v>
      </c>
      <c r="D10" s="91">
        <v>44682</v>
      </c>
      <c r="E10" s="106" t="s">
        <v>419</v>
      </c>
      <c r="F10" s="97">
        <v>15</v>
      </c>
    </row>
    <row r="11" spans="1:6">
      <c r="A11" s="99">
        <v>2</v>
      </c>
      <c r="B11" s="106" t="s">
        <v>423</v>
      </c>
      <c r="C11" s="108">
        <v>250.5</v>
      </c>
      <c r="D11" s="91">
        <v>44545</v>
      </c>
      <c r="E11" s="106" t="s">
        <v>422</v>
      </c>
      <c r="F11" s="97">
        <v>200</v>
      </c>
    </row>
    <row r="12" spans="1:6">
      <c r="A12" s="99">
        <v>3</v>
      </c>
      <c r="B12" s="106" t="s">
        <v>421</v>
      </c>
      <c r="C12" s="24">
        <v>750.75</v>
      </c>
      <c r="D12" s="107">
        <v>44757</v>
      </c>
      <c r="E12" s="106" t="s">
        <v>417</v>
      </c>
      <c r="F12" s="97">
        <v>35</v>
      </c>
    </row>
    <row r="13" spans="1:6" ht="18.75" customHeight="1">
      <c r="A13" s="99">
        <v>4</v>
      </c>
      <c r="B13" s="106" t="s">
        <v>420</v>
      </c>
      <c r="C13" s="24">
        <v>1420</v>
      </c>
      <c r="D13" s="91">
        <v>44793</v>
      </c>
      <c r="E13" s="106" t="s">
        <v>419</v>
      </c>
      <c r="F13" s="97">
        <v>20</v>
      </c>
    </row>
    <row r="14" spans="1:6">
      <c r="A14" s="99">
        <v>5</v>
      </c>
      <c r="B14" s="106" t="s">
        <v>418</v>
      </c>
      <c r="C14" s="24">
        <v>199.99</v>
      </c>
      <c r="D14" s="91">
        <v>44968</v>
      </c>
      <c r="E14" s="106" t="s">
        <v>417</v>
      </c>
      <c r="F14" s="97">
        <v>505</v>
      </c>
    </row>
    <row r="15" spans="1:6">
      <c r="A15" s="96">
        <v>6</v>
      </c>
      <c r="B15" s="104" t="s">
        <v>416</v>
      </c>
      <c r="C15" s="105">
        <v>329.5</v>
      </c>
      <c r="D15" s="94">
        <v>44219</v>
      </c>
      <c r="E15" s="104" t="s">
        <v>415</v>
      </c>
      <c r="F15" s="92">
        <v>110</v>
      </c>
    </row>
    <row r="18" spans="1:7" ht="15.75" customHeight="1">
      <c r="A18" s="103" t="s">
        <v>414</v>
      </c>
      <c r="B18" s="103"/>
      <c r="C18" s="103"/>
      <c r="D18" s="103"/>
      <c r="E18" s="103"/>
      <c r="F18" s="103"/>
    </row>
    <row r="19" spans="1:7">
      <c r="A19" s="102" t="s">
        <v>413</v>
      </c>
      <c r="B19" s="101" t="s">
        <v>262</v>
      </c>
      <c r="C19" s="101" t="s">
        <v>412</v>
      </c>
      <c r="D19" s="101" t="s">
        <v>411</v>
      </c>
      <c r="E19" s="101" t="s">
        <v>39</v>
      </c>
      <c r="F19" s="100" t="s">
        <v>410</v>
      </c>
    </row>
    <row r="20" spans="1:7">
      <c r="A20" s="99">
        <v>1</v>
      </c>
      <c r="B20" s="39" t="str" cm="1">
        <f t="array" ref="B20:B25">_xldudf_AI_FORMAT(B10:B15,B19)</f>
        <v>Laptop</v>
      </c>
      <c r="C20" s="98">
        <v>1200</v>
      </c>
      <c r="D20" s="91">
        <v>44682</v>
      </c>
      <c r="E20" s="39" t="str" cm="1">
        <f t="array" ref="E20:E25">_xldudf_AI_FORMAT(E10:E15,"Status name")</f>
        <v>Available</v>
      </c>
      <c r="F20" s="97">
        <v>15</v>
      </c>
      <c r="G20" s="25" t="s">
        <v>256</v>
      </c>
    </row>
    <row r="21" spans="1:7">
      <c r="A21" s="99">
        <v>2</v>
      </c>
      <c r="B21" s="39" t="str">
        <v>Headphones</v>
      </c>
      <c r="C21" s="98">
        <v>250.5</v>
      </c>
      <c r="D21" s="91">
        <v>44545</v>
      </c>
      <c r="E21" s="39" t="str">
        <v>Out of Stock</v>
      </c>
      <c r="F21" s="97">
        <v>200</v>
      </c>
    </row>
    <row r="22" spans="1:7">
      <c r="A22" s="99">
        <v>3</v>
      </c>
      <c r="B22" s="39" t="str">
        <v>Mobile phone</v>
      </c>
      <c r="C22" s="98">
        <v>750.75</v>
      </c>
      <c r="D22" s="91">
        <v>44757</v>
      </c>
      <c r="E22" s="39" t="str">
        <v>Available</v>
      </c>
      <c r="F22" s="97">
        <v>35</v>
      </c>
    </row>
    <row r="23" spans="1:7">
      <c r="A23" s="99">
        <v>4</v>
      </c>
      <c r="B23" s="39" t="str">
        <v>Television</v>
      </c>
      <c r="C23" s="98">
        <v>1420</v>
      </c>
      <c r="D23" s="91">
        <v>44793</v>
      </c>
      <c r="E23" s="39" t="str">
        <v>Available</v>
      </c>
      <c r="F23" s="97">
        <v>20</v>
      </c>
    </row>
    <row r="24" spans="1:7">
      <c r="A24" s="99">
        <v>5</v>
      </c>
      <c r="B24" s="39" t="str">
        <v>Smart watch</v>
      </c>
      <c r="C24" s="98">
        <v>199.99</v>
      </c>
      <c r="D24" s="91">
        <v>44968</v>
      </c>
      <c r="E24" s="39" t="str">
        <v>Available</v>
      </c>
      <c r="F24" s="97">
        <v>505</v>
      </c>
    </row>
    <row r="25" spans="1:7">
      <c r="A25" s="96">
        <v>6</v>
      </c>
      <c r="B25" s="93" t="str">
        <v>Tablet</v>
      </c>
      <c r="C25" s="95">
        <v>329.5</v>
      </c>
      <c r="D25" s="94">
        <v>44219</v>
      </c>
      <c r="E25" s="93" t="str">
        <v>Out of Stock</v>
      </c>
      <c r="F25" s="92">
        <v>110</v>
      </c>
    </row>
    <row r="43" spans="7:7">
      <c r="G43" s="91"/>
    </row>
    <row r="45" spans="7:7">
      <c r="G45" s="91"/>
    </row>
    <row r="47" spans="7:7">
      <c r="G47" s="91"/>
    </row>
    <row r="49" spans="7:7">
      <c r="G49" s="91"/>
    </row>
    <row r="51" spans="7:7">
      <c r="G51" s="91"/>
    </row>
    <row r="53" spans="7:7">
      <c r="G53" s="91"/>
    </row>
  </sheetData>
  <mergeCells count="1">
    <mergeCell ref="A5:F5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A5221-8ABF-424C-B3F1-2F6DFB1FDBF1}">
  <sheetPr codeName="Sheet17"/>
  <dimension ref="A1:F31"/>
  <sheetViews>
    <sheetView workbookViewId="0"/>
  </sheetViews>
  <sheetFormatPr defaultColWidth="12.21875" defaultRowHeight="15.6"/>
  <cols>
    <col min="1" max="1" width="36.77734375" style="24" customWidth="1"/>
    <col min="2" max="2" width="28.33203125" style="24" customWidth="1"/>
    <col min="3" max="3" width="17.33203125" style="24" customWidth="1"/>
    <col min="4" max="4" width="12.21875" style="111"/>
    <col min="5" max="16384" width="12.21875" style="24"/>
  </cols>
  <sheetData>
    <row r="1" spans="1:6" ht="33.6">
      <c r="A1" s="37" t="s">
        <v>271</v>
      </c>
      <c r="B1" s="36" t="s">
        <v>463</v>
      </c>
      <c r="C1" s="36"/>
      <c r="D1" s="80"/>
      <c r="E1" s="80"/>
      <c r="F1" s="80"/>
    </row>
    <row r="2" spans="1:6">
      <c r="A2" s="35" t="s">
        <v>269</v>
      </c>
      <c r="B2" s="34" t="s">
        <v>462</v>
      </c>
      <c r="D2" s="24"/>
    </row>
    <row r="5" spans="1:6" ht="18">
      <c r="A5" s="33" t="s">
        <v>461</v>
      </c>
      <c r="B5" s="33"/>
      <c r="C5" s="33"/>
      <c r="D5" s="131"/>
    </row>
    <row r="6" spans="1:6">
      <c r="A6" s="85" t="s">
        <v>262</v>
      </c>
      <c r="B6" s="85" t="s">
        <v>260</v>
      </c>
      <c r="C6" s="85"/>
      <c r="D6" s="25"/>
    </row>
    <row r="7" spans="1:6">
      <c r="A7" s="54" t="s">
        <v>460</v>
      </c>
      <c r="B7" s="82" t="s">
        <v>459</v>
      </c>
      <c r="C7" s="129"/>
      <c r="D7" s="25"/>
    </row>
    <row r="8" spans="1:6">
      <c r="A8" s="54" t="s">
        <v>458</v>
      </c>
      <c r="B8" s="130" t="s">
        <v>457</v>
      </c>
      <c r="C8" s="129"/>
      <c r="D8" s="25"/>
    </row>
    <row r="9" spans="1:6">
      <c r="A9" s="128" t="s">
        <v>456</v>
      </c>
      <c r="B9" s="81" t="str" cm="1">
        <f t="array" ref="B9:B17">_xldudf_AI_FILL(A6:C8,A9:A17)</f>
        <v>Collaborate and communicate effectively with your team in real-time!</v>
      </c>
      <c r="C9" s="125"/>
      <c r="D9" s="25" t="s">
        <v>347</v>
      </c>
    </row>
    <row r="10" spans="1:6">
      <c r="A10" s="128" t="s">
        <v>455</v>
      </c>
      <c r="B10" s="127" t="str">
        <v>Connect with friends and share your life updates!</v>
      </c>
      <c r="C10" s="125"/>
      <c r="D10" s="25"/>
    </row>
    <row r="11" spans="1:6">
      <c r="A11" s="128" t="s">
        <v>454</v>
      </c>
      <c r="B11" s="127" t="str">
        <v>Rent unique cars from local hosts!</v>
      </c>
      <c r="C11" s="125"/>
      <c r="D11" s="25"/>
    </row>
    <row r="12" spans="1:6">
      <c r="A12" s="114" t="s">
        <v>453</v>
      </c>
      <c r="B12" s="127" t="str">
        <v>Stream millions of songs and podcasts!</v>
      </c>
      <c r="C12" s="125"/>
      <c r="D12" s="25"/>
    </row>
    <row r="13" spans="1:6">
      <c r="A13" s="114" t="s">
        <v>452</v>
      </c>
      <c r="B13" s="127" t="str">
        <v>Build your professional network and advance your career!</v>
      </c>
      <c r="C13" s="125"/>
      <c r="D13" s="25"/>
    </row>
    <row r="14" spans="1:6">
      <c r="A14" s="114" t="s">
        <v>451</v>
      </c>
      <c r="B14" s="127" t="str">
        <v>Watch, upload, and share videos with the world!</v>
      </c>
      <c r="C14" s="125"/>
      <c r="D14" s="25"/>
    </row>
    <row r="15" spans="1:6">
      <c r="A15" s="114" t="s">
        <v>450</v>
      </c>
      <c r="B15" s="127" t="str">
        <v>Send messages, make calls, and share media securely!</v>
      </c>
      <c r="C15" s="125"/>
      <c r="D15" s="25"/>
    </row>
    <row r="16" spans="1:6">
      <c r="A16" s="114" t="s">
        <v>449</v>
      </c>
      <c r="B16" s="127" t="str">
        <v>All-in-one communication and social media app!</v>
      </c>
      <c r="C16" s="125"/>
      <c r="D16" s="25"/>
    </row>
    <row r="17" spans="1:4">
      <c r="A17" s="114" t="s">
        <v>448</v>
      </c>
      <c r="B17" s="126" t="str">
        <v>Identify and discover music around you!</v>
      </c>
      <c r="C17" s="125"/>
      <c r="D17" s="25"/>
    </row>
    <row r="18" spans="1:4">
      <c r="A18" s="68"/>
      <c r="B18" s="68"/>
      <c r="C18" s="68"/>
      <c r="D18" s="25"/>
    </row>
    <row r="19" spans="1:4" ht="18">
      <c r="A19" s="33" t="s">
        <v>447</v>
      </c>
      <c r="B19" s="33"/>
      <c r="C19" s="33"/>
      <c r="D19" s="25"/>
    </row>
    <row r="20" spans="1:4">
      <c r="A20" s="75" t="s">
        <v>393</v>
      </c>
      <c r="B20" s="75" t="s">
        <v>446</v>
      </c>
      <c r="C20" s="75" t="s">
        <v>445</v>
      </c>
      <c r="D20" s="25"/>
    </row>
    <row r="21" spans="1:4">
      <c r="A21" s="122" t="s">
        <v>444</v>
      </c>
      <c r="B21" s="124" t="s">
        <v>443</v>
      </c>
      <c r="C21" s="123" t="s">
        <v>442</v>
      </c>
      <c r="D21" s="25"/>
    </row>
    <row r="22" spans="1:4">
      <c r="A22" s="122" t="s">
        <v>441</v>
      </c>
      <c r="B22" s="121" t="s">
        <v>440</v>
      </c>
      <c r="C22" s="120" t="s">
        <v>439</v>
      </c>
      <c r="D22" s="25"/>
    </row>
    <row r="23" spans="1:4">
      <c r="A23" s="114" t="s">
        <v>438</v>
      </c>
      <c r="B23" s="119" t="str" cm="1">
        <f t="array" ref="B23:C31">_xldudf_AI_FILL(A20:C22,A23:A31)</f>
        <v>Asia</v>
      </c>
      <c r="C23" s="118" t="str">
        <v>Indian Rupee</v>
      </c>
      <c r="D23" s="25" t="s">
        <v>347</v>
      </c>
    </row>
    <row r="24" spans="1:4">
      <c r="A24" s="114" t="s">
        <v>437</v>
      </c>
      <c r="B24" s="117" t="str">
        <v>Americas</v>
      </c>
      <c r="C24" s="115" t="str">
        <v>Brazilian Real</v>
      </c>
      <c r="D24" s="25"/>
    </row>
    <row r="25" spans="1:4">
      <c r="A25" s="114" t="s">
        <v>436</v>
      </c>
      <c r="B25" s="117" t="str">
        <v>Oceania</v>
      </c>
      <c r="C25" s="115" t="str">
        <v>Australian Dollar</v>
      </c>
      <c r="D25" s="25"/>
    </row>
    <row r="26" spans="1:4">
      <c r="A26" s="114" t="s">
        <v>435</v>
      </c>
      <c r="B26" s="117" t="str">
        <v>Oceania</v>
      </c>
      <c r="C26" s="115" t="str">
        <v>New Zealand Dollar</v>
      </c>
      <c r="D26" s="25"/>
    </row>
    <row r="27" spans="1:4">
      <c r="A27" s="114" t="s">
        <v>434</v>
      </c>
      <c r="B27" s="117" t="str">
        <v>Europe</v>
      </c>
      <c r="C27" s="115" t="str">
        <v>Euro</v>
      </c>
      <c r="D27" s="25"/>
    </row>
    <row r="28" spans="1:4">
      <c r="A28" s="114" t="s">
        <v>433</v>
      </c>
      <c r="B28" s="116" t="str">
        <v>Europe</v>
      </c>
      <c r="C28" s="115" t="str">
        <v>Czech Koruna</v>
      </c>
      <c r="D28" s="25"/>
    </row>
    <row r="29" spans="1:4">
      <c r="A29" s="114" t="s">
        <v>432</v>
      </c>
      <c r="B29" s="116" t="str">
        <v>Europe</v>
      </c>
      <c r="C29" s="115" t="str">
        <v>Hungarian Forint</v>
      </c>
      <c r="D29" s="25"/>
    </row>
    <row r="30" spans="1:4">
      <c r="A30" s="114" t="s">
        <v>431</v>
      </c>
      <c r="B30" s="116" t="str">
        <v>Asia</v>
      </c>
      <c r="C30" s="115" t="str">
        <v>Japanese Yen</v>
      </c>
      <c r="D30" s="25"/>
    </row>
    <row r="31" spans="1:4">
      <c r="A31" s="114" t="s">
        <v>430</v>
      </c>
      <c r="B31" s="113" t="str">
        <v>Asia</v>
      </c>
      <c r="C31" s="112" t="str">
        <v>Tajik Somoni</v>
      </c>
      <c r="D31" s="25"/>
    </row>
  </sheetData>
  <mergeCells count="2">
    <mergeCell ref="A5:C5"/>
    <mergeCell ref="A19:C19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3B51-4457-46F3-B64B-FBC0EBBCD145}">
  <sheetPr codeName="Sheet18"/>
  <dimension ref="A1:C17"/>
  <sheetViews>
    <sheetView workbookViewId="0"/>
  </sheetViews>
  <sheetFormatPr defaultColWidth="12.21875" defaultRowHeight="15.6"/>
  <cols>
    <col min="1" max="1" width="14.44140625" style="24" customWidth="1"/>
    <col min="2" max="2" width="68.33203125" style="24" customWidth="1"/>
    <col min="3" max="16384" width="12.21875" style="24"/>
  </cols>
  <sheetData>
    <row r="1" spans="1:3" ht="33.6">
      <c r="A1" s="37" t="s">
        <v>271</v>
      </c>
      <c r="B1" s="36" t="s">
        <v>467</v>
      </c>
      <c r="C1" s="80"/>
    </row>
    <row r="2" spans="1:3">
      <c r="A2" s="35" t="s">
        <v>269</v>
      </c>
      <c r="B2" s="34" t="s">
        <v>466</v>
      </c>
    </row>
    <row r="5" spans="1:3" ht="18">
      <c r="A5" s="33" t="s">
        <v>465</v>
      </c>
      <c r="B5" s="33"/>
      <c r="C5" s="76"/>
    </row>
    <row r="6" spans="1:3">
      <c r="A6" s="75" t="s">
        <v>345</v>
      </c>
      <c r="B6" s="136" t="s">
        <v>464</v>
      </c>
      <c r="C6" s="68"/>
    </row>
    <row r="7" spans="1:3">
      <c r="A7" s="47"/>
      <c r="B7" s="47"/>
      <c r="C7" s="68"/>
    </row>
    <row r="8" spans="1:3">
      <c r="A8" s="135"/>
      <c r="B8" s="125" t="str" cm="1">
        <f t="array" ref="B8:B17">_xldudf_AI_LIST(B6)</f>
        <v>Transform your spreadsheets with AI power</v>
      </c>
      <c r="C8" s="68" t="s">
        <v>347</v>
      </c>
    </row>
    <row r="9" spans="1:3" ht="15.9" customHeight="1">
      <c r="A9" s="133"/>
      <c r="B9" s="125" t="str">
        <v>Excel made smarter with ChatGPT</v>
      </c>
      <c r="C9" s="68"/>
    </row>
    <row r="10" spans="1:3" ht="15.9" customHeight="1">
      <c r="A10" s="134"/>
      <c r="B10" s="125" t="str">
        <v>Your AI assistant for effortless Excel tasks</v>
      </c>
      <c r="C10" s="68"/>
    </row>
    <row r="11" spans="1:3" ht="15.9" customHeight="1">
      <c r="A11" s="134"/>
      <c r="B11" s="125" t="str">
        <v>Unlock Excel's potential with ChatGPT</v>
      </c>
      <c r="C11" s="68"/>
    </row>
    <row r="12" spans="1:3" ht="15.9" customHeight="1">
      <c r="A12" s="133"/>
      <c r="B12" s="125" t="str">
        <v>ChatGPT: Your Excel companion</v>
      </c>
      <c r="C12" s="68"/>
    </row>
    <row r="13" spans="1:3" ht="15.9" customHeight="1">
      <c r="A13" s="134"/>
      <c r="B13" s="125" t="str">
        <v>Revolutionize your data analysis with AI</v>
      </c>
      <c r="C13" s="68"/>
    </row>
    <row r="14" spans="1:3" ht="15.9" customHeight="1">
      <c r="A14" s="133"/>
      <c r="B14" s="125" t="str">
        <v>ChatGPT: The future of Excel productivity</v>
      </c>
      <c r="C14" s="68"/>
    </row>
    <row r="15" spans="1:3" ht="15.9" customHeight="1">
      <c r="A15" s="133"/>
      <c r="B15" s="125" t="str">
        <v>Streamline your workflow with AI insights</v>
      </c>
      <c r="C15" s="68"/>
    </row>
    <row r="16" spans="1:3" ht="15.9" customHeight="1">
      <c r="A16" s="133"/>
      <c r="B16" s="125" t="str">
        <v>Excel like a pro with ChatGPT</v>
      </c>
      <c r="C16" s="68"/>
    </row>
    <row r="17" spans="1:3" ht="15.9" customHeight="1">
      <c r="A17" s="132"/>
      <c r="B17" s="125" t="str">
        <v>Empower your spreadsheets with intelligent assistance</v>
      </c>
      <c r="C17" s="68"/>
    </row>
  </sheetData>
  <mergeCells count="1">
    <mergeCell ref="A5:B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549C8-63AB-4A42-AE6B-8CF47DC2818B}">
  <sheetPr codeName="Sheet19"/>
  <dimension ref="A1:G31"/>
  <sheetViews>
    <sheetView workbookViewId="0"/>
  </sheetViews>
  <sheetFormatPr defaultColWidth="12.21875" defaultRowHeight="15.75" customHeight="1"/>
  <cols>
    <col min="1" max="1" width="14.88671875" style="24" customWidth="1"/>
    <col min="2" max="2" width="14.44140625" style="24" customWidth="1"/>
    <col min="3" max="3" width="55.6640625" style="24" customWidth="1"/>
    <col min="4" max="4" width="24.88671875" style="24" customWidth="1"/>
    <col min="5" max="5" width="22.21875" style="24" customWidth="1"/>
    <col min="6" max="6" width="23.44140625" style="24" customWidth="1"/>
    <col min="7" max="7" width="21" style="24" customWidth="1"/>
    <col min="8" max="16384" width="12.21875" style="24"/>
  </cols>
  <sheetData>
    <row r="1" spans="1:7" ht="33.6">
      <c r="A1" s="37" t="s">
        <v>271</v>
      </c>
      <c r="B1" s="51" t="s">
        <v>515</v>
      </c>
      <c r="C1" s="51"/>
      <c r="D1" s="51"/>
    </row>
    <row r="2" spans="1:7" ht="15.6">
      <c r="A2" s="35" t="s">
        <v>269</v>
      </c>
      <c r="B2" s="34" t="s">
        <v>514</v>
      </c>
    </row>
    <row r="3" spans="1:7" ht="15.6"/>
    <row r="4" spans="1:7" ht="15.6"/>
    <row r="5" spans="1:7" ht="18.899999999999999" customHeight="1">
      <c r="A5" s="33" t="s">
        <v>513</v>
      </c>
      <c r="B5" s="33"/>
      <c r="C5" s="33"/>
      <c r="D5" s="33"/>
      <c r="E5" s="33"/>
      <c r="F5" s="143"/>
    </row>
    <row r="6" spans="1:7" ht="36" customHeight="1">
      <c r="A6" s="142" t="s">
        <v>512</v>
      </c>
      <c r="B6" s="142"/>
      <c r="C6" s="142"/>
      <c r="D6" s="142"/>
      <c r="E6" s="142"/>
      <c r="F6" s="109"/>
    </row>
    <row r="8" spans="1:7" ht="15.6">
      <c r="A8" s="141" t="s">
        <v>511</v>
      </c>
      <c r="B8" s="141" t="s">
        <v>510</v>
      </c>
      <c r="C8" s="141" t="s">
        <v>509</v>
      </c>
      <c r="D8" s="141" t="s">
        <v>508</v>
      </c>
      <c r="E8" s="141" t="s">
        <v>488</v>
      </c>
      <c r="G8" s="141" t="s">
        <v>487</v>
      </c>
    </row>
    <row r="9" spans="1:7" ht="15.6">
      <c r="A9" s="139">
        <v>1</v>
      </c>
      <c r="B9" s="139">
        <v>305</v>
      </c>
      <c r="C9" s="139" t="s">
        <v>507</v>
      </c>
      <c r="D9" s="144">
        <v>45098.40625</v>
      </c>
      <c r="E9" s="137" t="str" cm="1">
        <f t="array" ref="E9">_xldudf_AI_CHOICE(C9,$G$8:$G$14)</f>
        <v>Billing Issue</v>
      </c>
      <c r="F9" s="25" t="s">
        <v>256</v>
      </c>
      <c r="G9" s="140" t="s">
        <v>506</v>
      </c>
    </row>
    <row r="10" spans="1:7" ht="15.6">
      <c r="A10" s="139">
        <v>2</v>
      </c>
      <c r="B10" s="139">
        <v>306</v>
      </c>
      <c r="C10" s="139" t="s">
        <v>505</v>
      </c>
      <c r="D10" s="144">
        <v>45098.458333333336</v>
      </c>
      <c r="E10" s="137" t="str" cm="1">
        <f t="array" ref="E10">_xldudf_AI_CHOICE(C10,$G$8:$G$14)</f>
        <v>Shipping Issue</v>
      </c>
      <c r="G10" s="140" t="s">
        <v>504</v>
      </c>
    </row>
    <row r="11" spans="1:7" ht="15.6">
      <c r="A11" s="139">
        <v>3</v>
      </c>
      <c r="B11" s="139">
        <v>307</v>
      </c>
      <c r="C11" s="139" t="s">
        <v>503</v>
      </c>
      <c r="D11" s="144">
        <v>45098.520833333336</v>
      </c>
      <c r="E11" s="137" t="str" cm="1">
        <f t="array" ref="E11">_xldudf_AI_CHOICE(C11,$G$8:$G$14)</f>
        <v>Technical Issue</v>
      </c>
      <c r="G11" s="140" t="s">
        <v>502</v>
      </c>
    </row>
    <row r="12" spans="1:7" ht="15.6">
      <c r="A12" s="139">
        <v>4</v>
      </c>
      <c r="B12" s="139">
        <v>308</v>
      </c>
      <c r="C12" s="139" t="s">
        <v>501</v>
      </c>
      <c r="D12" s="144">
        <v>45098.552083333336</v>
      </c>
      <c r="E12" s="137" t="str" cm="1">
        <f t="array" ref="E12">_xldudf_AI_CHOICE(C12,$G$8:$G$14)</f>
        <v>Account Management</v>
      </c>
      <c r="G12" s="140" t="s">
        <v>500</v>
      </c>
    </row>
    <row r="13" spans="1:7" ht="15.6">
      <c r="A13" s="139">
        <v>5</v>
      </c>
      <c r="B13" s="139">
        <v>309</v>
      </c>
      <c r="C13" s="139" t="s">
        <v>499</v>
      </c>
      <c r="D13" s="144">
        <v>45098.614583333336</v>
      </c>
      <c r="E13" s="137" t="str" cm="1">
        <f t="array" ref="E13">_xldudf_AI_CHOICE(C13,$G$8:$G$14)</f>
        <v>Product Inquiry</v>
      </c>
      <c r="G13" s="140" t="s">
        <v>498</v>
      </c>
    </row>
    <row r="14" spans="1:7" ht="15.6">
      <c r="A14" s="139">
        <v>6</v>
      </c>
      <c r="B14" s="139">
        <v>310</v>
      </c>
      <c r="C14" s="139" t="s">
        <v>497</v>
      </c>
      <c r="D14" s="144">
        <v>45098.666666666664</v>
      </c>
      <c r="E14" s="137" t="str" cm="1">
        <f t="array" ref="E14">_xldudf_AI_CHOICE(C14,$G$8:$G$14)</f>
        <v>Technical Issue</v>
      </c>
      <c r="G14" s="140" t="s">
        <v>470</v>
      </c>
    </row>
    <row r="15" spans="1:7" ht="15.6">
      <c r="A15" s="139">
        <v>7</v>
      </c>
      <c r="B15" s="139">
        <v>311</v>
      </c>
      <c r="C15" s="139" t="s">
        <v>496</v>
      </c>
      <c r="D15" s="144">
        <v>45098.722222222219</v>
      </c>
      <c r="E15" s="137" t="str" cm="1">
        <f t="array" ref="E15">_xldudf_AI_CHOICE(C15,$G$8:$G$14)</f>
        <v>Other</v>
      </c>
    </row>
    <row r="16" spans="1:7" ht="15.6">
      <c r="A16" s="139">
        <v>8</v>
      </c>
      <c r="B16" s="139">
        <v>312</v>
      </c>
      <c r="C16" s="139" t="s">
        <v>495</v>
      </c>
      <c r="D16" s="144">
        <v>45098.784722222219</v>
      </c>
      <c r="E16" s="137" t="str" cm="1">
        <f t="array" ref="E16">_xldudf_AI_CHOICE(C16,$G$8:$G$14)</f>
        <v>Account Management</v>
      </c>
    </row>
    <row r="17" spans="1:7" ht="15.6"/>
    <row r="18" spans="1:7" ht="15.6"/>
    <row r="20" spans="1:7" ht="18">
      <c r="A20" s="33" t="s">
        <v>494</v>
      </c>
      <c r="B20" s="33"/>
      <c r="C20" s="33"/>
      <c r="D20" s="33"/>
      <c r="E20" s="33"/>
      <c r="F20" s="143"/>
    </row>
    <row r="21" spans="1:7" ht="33" customHeight="1">
      <c r="A21" s="142" t="s">
        <v>493</v>
      </c>
      <c r="B21" s="142"/>
      <c r="C21" s="142"/>
      <c r="D21" s="142"/>
      <c r="E21" s="142"/>
      <c r="F21" s="109"/>
    </row>
    <row r="23" spans="1:7" ht="15.75" customHeight="1">
      <c r="A23" s="141" t="s">
        <v>492</v>
      </c>
      <c r="B23" s="141" t="s">
        <v>491</v>
      </c>
      <c r="C23" s="141" t="s">
        <v>490</v>
      </c>
      <c r="D23" s="141" t="s">
        <v>489</v>
      </c>
      <c r="E23" s="141" t="s">
        <v>488</v>
      </c>
      <c r="G23" s="141" t="s">
        <v>487</v>
      </c>
    </row>
    <row r="24" spans="1:7" ht="15.75" customHeight="1">
      <c r="A24" s="139">
        <v>1</v>
      </c>
      <c r="B24" s="139" t="s">
        <v>475</v>
      </c>
      <c r="C24" s="139" t="s">
        <v>486</v>
      </c>
      <c r="D24" s="138">
        <v>45098.375</v>
      </c>
      <c r="E24" s="137" t="str" cm="1">
        <f t="array" ref="E24:E27">_xldudf_AI_CHOICE(C24:C27,G23:G30)</f>
        <v>Product Promotion</v>
      </c>
      <c r="F24" s="25" t="s">
        <v>256</v>
      </c>
      <c r="G24" s="140" t="s">
        <v>485</v>
      </c>
    </row>
    <row r="25" spans="1:7" ht="15.75" customHeight="1">
      <c r="A25" s="139">
        <v>2</v>
      </c>
      <c r="B25" s="139" t="s">
        <v>478</v>
      </c>
      <c r="C25" s="139" t="s">
        <v>484</v>
      </c>
      <c r="D25" s="138">
        <v>45098.427083333336</v>
      </c>
      <c r="E25" s="137" t="str">
        <v>Engagement Post</v>
      </c>
      <c r="F25" s="25"/>
      <c r="G25" s="140" t="s">
        <v>483</v>
      </c>
    </row>
    <row r="26" spans="1:7" ht="15.75" customHeight="1">
      <c r="A26" s="139">
        <v>3</v>
      </c>
      <c r="B26" s="139" t="s">
        <v>472</v>
      </c>
      <c r="C26" s="139" t="s">
        <v>482</v>
      </c>
      <c r="D26" s="138">
        <v>45098.479166666664</v>
      </c>
      <c r="E26" s="137" t="str">
        <v>Customer Testimonial</v>
      </c>
      <c r="F26" s="25"/>
      <c r="G26" s="140" t="s">
        <v>481</v>
      </c>
    </row>
    <row r="27" spans="1:7" ht="15.75" customHeight="1">
      <c r="A27" s="139">
        <v>4</v>
      </c>
      <c r="B27" s="139" t="s">
        <v>469</v>
      </c>
      <c r="C27" s="139" t="s">
        <v>480</v>
      </c>
      <c r="D27" s="138">
        <v>45098.541666666664</v>
      </c>
      <c r="E27" s="137" t="str">
        <v>Event Promotion</v>
      </c>
      <c r="F27" s="25"/>
      <c r="G27" s="140" t="s">
        <v>479</v>
      </c>
    </row>
    <row r="28" spans="1:7" ht="15.75" customHeight="1">
      <c r="A28" s="139">
        <v>5</v>
      </c>
      <c r="B28" s="139" t="s">
        <v>478</v>
      </c>
      <c r="C28" s="139" t="s">
        <v>477</v>
      </c>
      <c r="D28" s="138">
        <v>45098.614583333336</v>
      </c>
      <c r="E28" s="137" t="str" cm="1">
        <f t="array" ref="E28:E31">_xldudf_AI_CHOICE(C28:C31,G23:G30)</f>
        <v>Product Promotion</v>
      </c>
      <c r="F28" s="25" t="s">
        <v>256</v>
      </c>
      <c r="G28" s="140" t="s">
        <v>476</v>
      </c>
    </row>
    <row r="29" spans="1:7" ht="15.75" customHeight="1">
      <c r="A29" s="139">
        <v>6</v>
      </c>
      <c r="B29" s="139" t="s">
        <v>475</v>
      </c>
      <c r="C29" s="139" t="s">
        <v>474</v>
      </c>
      <c r="D29" s="138">
        <v>45098.666666666664</v>
      </c>
      <c r="E29" s="137" t="str">
        <v>Company News</v>
      </c>
      <c r="G29" s="140" t="s">
        <v>473</v>
      </c>
    </row>
    <row r="30" spans="1:7" ht="15.75" customHeight="1">
      <c r="A30" s="139">
        <v>7</v>
      </c>
      <c r="B30" s="139" t="s">
        <v>472</v>
      </c>
      <c r="C30" s="139" t="s">
        <v>471</v>
      </c>
      <c r="D30" s="138">
        <v>45098.729166666664</v>
      </c>
      <c r="E30" s="137" t="str">
        <v>Engagement Post</v>
      </c>
      <c r="G30" s="140" t="s">
        <v>470</v>
      </c>
    </row>
    <row r="31" spans="1:7" ht="15.75" customHeight="1">
      <c r="A31" s="139">
        <v>8</v>
      </c>
      <c r="B31" s="139" t="s">
        <v>469</v>
      </c>
      <c r="C31" s="139" t="s">
        <v>468</v>
      </c>
      <c r="D31" s="138">
        <v>45098.791666666664</v>
      </c>
      <c r="E31" s="137" t="str">
        <v>Event Promotion</v>
      </c>
    </row>
  </sheetData>
  <mergeCells count="5">
    <mergeCell ref="A6:E6"/>
    <mergeCell ref="A20:E20"/>
    <mergeCell ref="A21:E21"/>
    <mergeCell ref="B1:D1"/>
    <mergeCell ref="A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Sheet1</vt:lpstr>
      <vt:lpstr>Sheet9</vt:lpstr>
      <vt:lpstr>Sheet8</vt:lpstr>
      <vt:lpstr>Sheet2</vt:lpstr>
      <vt:lpstr>Sheet3</vt:lpstr>
      <vt:lpstr>Sheet4</vt:lpstr>
      <vt:lpstr>Sheet5</vt:lpstr>
      <vt:lpstr>Sheet6</vt:lpstr>
      <vt:lpstr>Sheet7</vt:lpstr>
      <vt:lpstr>Sheet11</vt:lpstr>
      <vt:lpstr>ChatGPT Add-ins</vt:lpstr>
      <vt:lpstr>AI.ASK</vt:lpstr>
      <vt:lpstr>AI.TABLE</vt:lpstr>
      <vt:lpstr>AI.TRANSLATE</vt:lpstr>
      <vt:lpstr>AI.EXTRACT</vt:lpstr>
      <vt:lpstr>AI.FORMAT</vt:lpstr>
      <vt:lpstr>AI.FILL</vt:lpstr>
      <vt:lpstr>AI.LIST</vt:lpstr>
      <vt:lpstr>AI.CHOICE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Arnab Chakraborty</dc:creator>
  <cp:lastModifiedBy>Arnab Chakraborty</cp:lastModifiedBy>
  <dcterms:created xsi:type="dcterms:W3CDTF">2024-11-04T03:39:40Z</dcterms:created>
  <dcterms:modified xsi:type="dcterms:W3CDTF">2024-11-05T15:28:10Z</dcterms:modified>
</cp:coreProperties>
</file>